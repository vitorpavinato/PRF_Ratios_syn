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torpavinato/WorkDir/PRF_Ratios_syn/results/CodonPair/"/>
    </mc:Choice>
  </mc:AlternateContent>
  <xr:revisionPtr revIDLastSave="0" documentId="13_ncr:1_{EB0680EB-5274-3E47-90D1-C9520F76BBF0}" xr6:coauthVersionLast="47" xr6:coauthVersionMax="47" xr10:uidLastSave="{00000000-0000-0000-0000-000000000000}"/>
  <bookViews>
    <workbookView xWindow="18080" yWindow="1760" windowWidth="26500" windowHeight="12220" activeTab="3" xr2:uid="{379AE1E1-B87B-6D43-8FDD-8B4DEF6FB9D4}"/>
  </bookViews>
  <sheets>
    <sheet name="dgrp2" sheetId="1" r:id="rId1"/>
    <sheet name="Zambia" sheetId="2" r:id="rId2"/>
    <sheet name="side-by-side" sheetId="4" r:id="rId3"/>
    <sheet name="Proline" sheetId="3" r:id="rId4"/>
    <sheet name="Sheet1" sheetId="8" r:id="rId5"/>
    <sheet name="Arginine" sheetId="7" r:id="rId6"/>
    <sheet name="Serine" sheetId="6" r:id="rId7"/>
    <sheet name="Valine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" i="3" l="1"/>
  <c r="Z23" i="3"/>
  <c r="Y23" i="3"/>
  <c r="X23" i="3"/>
  <c r="AA22" i="3"/>
  <c r="Z22" i="3"/>
  <c r="Y22" i="3"/>
  <c r="X22" i="3"/>
  <c r="Y8" i="3"/>
  <c r="Z8" i="3"/>
  <c r="AA8" i="3"/>
  <c r="X8" i="3"/>
  <c r="Y9" i="3"/>
  <c r="Z9" i="3"/>
  <c r="AA9" i="3"/>
  <c r="X9" i="3"/>
</calcChain>
</file>

<file path=xl/sharedStrings.xml><?xml version="1.0" encoding="utf-8"?>
<sst xmlns="http://schemas.openxmlformats.org/spreadsheetml/2006/main" count="845" uniqueCount="119">
  <si>
    <t>Codon_pair</t>
  </si>
  <si>
    <t>AA</t>
  </si>
  <si>
    <t>maxbin</t>
  </si>
  <si>
    <t>Lklhd</t>
  </si>
  <si>
    <t>RMSE</t>
  </si>
  <si>
    <t>invRMSE</t>
  </si>
  <si>
    <t>ThetaRatio</t>
  </si>
  <si>
    <t>2Ns</t>
  </si>
  <si>
    <t>TTT&gt;TTC</t>
  </si>
  <si>
    <t>F</t>
  </si>
  <si>
    <t>CTT&gt;CTC</t>
  </si>
  <si>
    <t>L</t>
  </si>
  <si>
    <t>CTT&gt;CTA</t>
  </si>
  <si>
    <t>CTT&gt;CTG</t>
  </si>
  <si>
    <t>CTA&gt;CTC</t>
  </si>
  <si>
    <t>CTA&gt;CTG</t>
  </si>
  <si>
    <t>CTC&gt;CTG</t>
  </si>
  <si>
    <t>TTG&gt;CTG</t>
  </si>
  <si>
    <t>TTA&gt;CTA</t>
  </si>
  <si>
    <t>TTA&gt;TTG</t>
  </si>
  <si>
    <t>ATT&gt;ATC</t>
  </si>
  <si>
    <t>I</t>
  </si>
  <si>
    <t>ATA&gt;ATT</t>
  </si>
  <si>
    <t>ATA&gt;ATC</t>
  </si>
  <si>
    <t>GTT&gt;GTC</t>
  </si>
  <si>
    <t>V</t>
  </si>
  <si>
    <t>GTA&gt;GTT</t>
  </si>
  <si>
    <t>GTT&gt;GTG</t>
  </si>
  <si>
    <t>GTA&gt;GTC</t>
  </si>
  <si>
    <t>GTC&gt;GTG</t>
  </si>
  <si>
    <t>GTA&gt;GTG</t>
  </si>
  <si>
    <t>TCT&gt;TCC</t>
  </si>
  <si>
    <t>S</t>
  </si>
  <si>
    <t>TCA&gt;TCT</t>
  </si>
  <si>
    <t>TCT&gt;TCG</t>
  </si>
  <si>
    <t>TCA&gt;TCC</t>
  </si>
  <si>
    <t>TCG&gt;TCC</t>
  </si>
  <si>
    <t>TCA&gt;TCG</t>
  </si>
  <si>
    <t>AGT&gt;AGC</t>
  </si>
  <si>
    <t>CCT&gt;CCC</t>
  </si>
  <si>
    <t>P</t>
  </si>
  <si>
    <t>CCA&gt;CCT</t>
  </si>
  <si>
    <t>CCT&gt;CCG</t>
  </si>
  <si>
    <t>CCA&gt;CCC</t>
  </si>
  <si>
    <t>CCG&gt;CCC</t>
  </si>
  <si>
    <t>CCA&gt;CCG</t>
  </si>
  <si>
    <t>ACT&gt;ACC</t>
  </si>
  <si>
    <t>T</t>
  </si>
  <si>
    <t>ACA&gt;ACT</t>
  </si>
  <si>
    <t>ACT&gt;ACG</t>
  </si>
  <si>
    <t>ACA&gt;ACC</t>
  </si>
  <si>
    <t>ACG&gt;ACC</t>
  </si>
  <si>
    <t>ACA&gt;ACG</t>
  </si>
  <si>
    <t>GCT&gt;GCC</t>
  </si>
  <si>
    <t>A</t>
  </si>
  <si>
    <t>GCA&gt;GCT</t>
  </si>
  <si>
    <t>GCT&gt;GCG</t>
  </si>
  <si>
    <t>GCA&gt;GCC</t>
  </si>
  <si>
    <t>GCG&gt;GCC</t>
  </si>
  <si>
    <t>GCA&gt;GCG</t>
  </si>
  <si>
    <t>TAT&gt;TAC</t>
  </si>
  <si>
    <t>Y</t>
  </si>
  <si>
    <t>CAT&gt;CAC</t>
  </si>
  <si>
    <t>H</t>
  </si>
  <si>
    <t>CAA&gt;CAG</t>
  </si>
  <si>
    <t>Q</t>
  </si>
  <si>
    <t>AAT&gt;AAC</t>
  </si>
  <si>
    <t>N</t>
  </si>
  <si>
    <t>AAA&gt;AAG</t>
  </si>
  <si>
    <t>K</t>
  </si>
  <si>
    <t>GAT&gt;GAC</t>
  </si>
  <si>
    <t>D</t>
  </si>
  <si>
    <t>GAA&gt;GAG</t>
  </si>
  <si>
    <t>E</t>
  </si>
  <si>
    <t>TGT&gt;TGC</t>
  </si>
  <si>
    <t>C</t>
  </si>
  <si>
    <t>CGT&gt;CGC</t>
  </si>
  <si>
    <t>R</t>
  </si>
  <si>
    <t>CGT&gt;CGA</t>
  </si>
  <si>
    <t>CGT&gt;CGG</t>
  </si>
  <si>
    <t>CGA&gt;CGC</t>
  </si>
  <si>
    <t>CGG&gt;CGC</t>
  </si>
  <si>
    <t>CGA&gt;CGG</t>
  </si>
  <si>
    <t>AGA&gt;CGA</t>
  </si>
  <si>
    <t>AGA&gt;AGG</t>
  </si>
  <si>
    <t>AGG&gt;CGG</t>
  </si>
  <si>
    <t>GGT&gt;GGC</t>
  </si>
  <si>
    <t>G</t>
  </si>
  <si>
    <t>GGT&gt;GGA</t>
  </si>
  <si>
    <t>GGT&gt;GGG</t>
  </si>
  <si>
    <t>GGA&gt;GGC</t>
  </si>
  <si>
    <t>GGG&gt;GGC</t>
  </si>
  <si>
    <t>GGG&gt;GGA</t>
  </si>
  <si>
    <t>GTT&gt;GTA</t>
  </si>
  <si>
    <t>TCT&gt;TCA</t>
  </si>
  <si>
    <t>DPGP2</t>
  </si>
  <si>
    <t>Zambia</t>
  </si>
  <si>
    <t>NC</t>
  </si>
  <si>
    <t>fitness</t>
  </si>
  <si>
    <t>CCA</t>
  </si>
  <si>
    <t>CCC</t>
  </si>
  <si>
    <t>CCG</t>
  </si>
  <si>
    <t>CCT</t>
  </si>
  <si>
    <t>pop</t>
  </si>
  <si>
    <t>DGRP2</t>
  </si>
  <si>
    <t>ZI</t>
  </si>
  <si>
    <t>Swapping the reference:</t>
  </si>
  <si>
    <t>CCA&gt;CCA</t>
  </si>
  <si>
    <t>CCC&gt;CCC</t>
  </si>
  <si>
    <t>CCG&gt;CCG</t>
  </si>
  <si>
    <t>CCT&gt;CCT</t>
  </si>
  <si>
    <t>CCC&gt;CCA</t>
  </si>
  <si>
    <t>CCC&gt;CCG</t>
  </si>
  <si>
    <t xml:space="preserve">CCG </t>
  </si>
  <si>
    <t xml:space="preserve">CCT </t>
  </si>
  <si>
    <t>CCG&gt;CCA</t>
  </si>
  <si>
    <t>CCG&gt;CCT</t>
  </si>
  <si>
    <t>CCT&gt;CCA</t>
  </si>
  <si>
    <t>CCC&gt;CCT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</si>
</sst>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0" fontId="0" fillId="0" borderId="0" xfId="0" applyAlignment="1">
      <alignment horizontal="left"/>
    </xf>
    <xf numFmtId="0" fontId="0" fillId="4" borderId="0" xfId="0" applyFill="1"/>
    <xf numFmtId="0" fontId="1" fillId="4" borderId="0" xfId="0" applyFont="1" applyFill="1"/>
    <xf numFmtId="0" fontId="5" fillId="4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'side-by-side'!$D$3:$D$69</c:f>
              <c:numCache>
                <c:formatCode>General</c:formatCode>
                <c:ptCount val="67"/>
                <c:pt idx="0">
                  <c:v>-0.124</c:v>
                </c:pt>
                <c:pt idx="1">
                  <c:v>0.125</c:v>
                </c:pt>
                <c:pt idx="2">
                  <c:v>0.158</c:v>
                </c:pt>
                <c:pt idx="3">
                  <c:v>0.17299999999999999</c:v>
                </c:pt>
                <c:pt idx="4">
                  <c:v>6.0000000000000001E-3</c:v>
                </c:pt>
                <c:pt idx="5">
                  <c:v>4.9000000000000002E-2</c:v>
                </c:pt>
                <c:pt idx="6">
                  <c:v>3.4000000000000002E-2</c:v>
                </c:pt>
                <c:pt idx="7">
                  <c:v>3.7999999999999999E-2</c:v>
                </c:pt>
                <c:pt idx="8">
                  <c:v>4.9000000000000002E-2</c:v>
                </c:pt>
                <c:pt idx="9">
                  <c:v>0.42199999999999999</c:v>
                </c:pt>
                <c:pt idx="10">
                  <c:v>-0.28899999999999998</c:v>
                </c:pt>
                <c:pt idx="11">
                  <c:v>-4.3999999999999997E-2</c:v>
                </c:pt>
                <c:pt idx="12">
                  <c:v>0.14000000000000001</c:v>
                </c:pt>
                <c:pt idx="13">
                  <c:v>5.0999999999999997E-2</c:v>
                </c:pt>
                <c:pt idx="14">
                  <c:v>0.502</c:v>
                </c:pt>
                <c:pt idx="15">
                  <c:v>3.5999999999999997E-2</c:v>
                </c:pt>
                <c:pt idx="16">
                  <c:v>0.495</c:v>
                </c:pt>
                <c:pt idx="17">
                  <c:v>-0.42599999999999999</c:v>
                </c:pt>
                <c:pt idx="18">
                  <c:v>0.371</c:v>
                </c:pt>
                <c:pt idx="19">
                  <c:v>5.3999999999999999E-2</c:v>
                </c:pt>
                <c:pt idx="20">
                  <c:v>4.3999999999999997E-2</c:v>
                </c:pt>
                <c:pt idx="21">
                  <c:v>0.45500000000000002</c:v>
                </c:pt>
                <c:pt idx="22">
                  <c:v>2.4E-2</c:v>
                </c:pt>
                <c:pt idx="23">
                  <c:v>-0.37</c:v>
                </c:pt>
                <c:pt idx="24">
                  <c:v>0.10299999999999999</c:v>
                </c:pt>
                <c:pt idx="25">
                  <c:v>9.1999999999999998E-2</c:v>
                </c:pt>
                <c:pt idx="26">
                  <c:v>0.129</c:v>
                </c:pt>
                <c:pt idx="27">
                  <c:v>-0.54200000000000004</c:v>
                </c:pt>
                <c:pt idx="28">
                  <c:v>0.64600000000000002</c:v>
                </c:pt>
                <c:pt idx="29">
                  <c:v>-0.155</c:v>
                </c:pt>
                <c:pt idx="30">
                  <c:v>8.6999999999999994E-2</c:v>
                </c:pt>
                <c:pt idx="31">
                  <c:v>-0.16700000000000001</c:v>
                </c:pt>
                <c:pt idx="32">
                  <c:v>6.4000000000000001E-2</c:v>
                </c:pt>
                <c:pt idx="33">
                  <c:v>-0.20899999999999999</c:v>
                </c:pt>
                <c:pt idx="34">
                  <c:v>0.14699999999999999</c:v>
                </c:pt>
                <c:pt idx="35">
                  <c:v>0.35299999999999998</c:v>
                </c:pt>
                <c:pt idx="36">
                  <c:v>-0.29099999999999998</c:v>
                </c:pt>
                <c:pt idx="37">
                  <c:v>-0.161</c:v>
                </c:pt>
                <c:pt idx="38">
                  <c:v>0.17199999999999999</c:v>
                </c:pt>
                <c:pt idx="39">
                  <c:v>-0.17799999999999999</c:v>
                </c:pt>
                <c:pt idx="40">
                  <c:v>0.17699999999999999</c:v>
                </c:pt>
                <c:pt idx="41">
                  <c:v>0.24</c:v>
                </c:pt>
                <c:pt idx="42">
                  <c:v>-4.3999999999999997E-2</c:v>
                </c:pt>
                <c:pt idx="43">
                  <c:v>4.7E-2</c:v>
                </c:pt>
                <c:pt idx="44">
                  <c:v>-0.31</c:v>
                </c:pt>
                <c:pt idx="45">
                  <c:v>-0.16600000000000001</c:v>
                </c:pt>
                <c:pt idx="46">
                  <c:v>0.152</c:v>
                </c:pt>
                <c:pt idx="47">
                  <c:v>-0.25</c:v>
                </c:pt>
                <c:pt idx="48">
                  <c:v>1.4E-2</c:v>
                </c:pt>
                <c:pt idx="49">
                  <c:v>-0.315</c:v>
                </c:pt>
                <c:pt idx="50">
                  <c:v>0.11899999999999999</c:v>
                </c:pt>
                <c:pt idx="51">
                  <c:v>4.2000000000000003E-2</c:v>
                </c:pt>
                <c:pt idx="52">
                  <c:v>-0.218</c:v>
                </c:pt>
                <c:pt idx="53">
                  <c:v>-0.752</c:v>
                </c:pt>
                <c:pt idx="54">
                  <c:v>-0.184</c:v>
                </c:pt>
                <c:pt idx="55">
                  <c:v>0.123</c:v>
                </c:pt>
                <c:pt idx="56">
                  <c:v>0.156</c:v>
                </c:pt>
                <c:pt idx="57">
                  <c:v>-0.17199999999999999</c:v>
                </c:pt>
                <c:pt idx="58">
                  <c:v>0.69699999999999995</c:v>
                </c:pt>
                <c:pt idx="59">
                  <c:v>-0.25900000000000001</c:v>
                </c:pt>
                <c:pt idx="60">
                  <c:v>0.753</c:v>
                </c:pt>
                <c:pt idx="61">
                  <c:v>8.8999999999999996E-2</c:v>
                </c:pt>
                <c:pt idx="62">
                  <c:v>-0.39900000000000002</c:v>
                </c:pt>
                <c:pt idx="63">
                  <c:v>-0.40799999999999997</c:v>
                </c:pt>
                <c:pt idx="64">
                  <c:v>0.38600000000000001</c:v>
                </c:pt>
                <c:pt idx="65">
                  <c:v>0.22600000000000001</c:v>
                </c:pt>
                <c:pt idx="66">
                  <c:v>0.55500000000000005</c:v>
                </c:pt>
              </c:numCache>
            </c:numRef>
          </c:xVal>
          <c:yVal>
            <c:numRef>
              <c:f>'side-by-side'!$H$3:$H$69</c:f>
              <c:numCache>
                <c:formatCode>General</c:formatCode>
                <c:ptCount val="67"/>
                <c:pt idx="0">
                  <c:v>0.22800000000000001</c:v>
                </c:pt>
                <c:pt idx="1">
                  <c:v>0.12</c:v>
                </c:pt>
                <c:pt idx="2">
                  <c:v>0.58299999999999996</c:v>
                </c:pt>
                <c:pt idx="3">
                  <c:v>0.57399999999999995</c:v>
                </c:pt>
                <c:pt idx="4">
                  <c:v>4.5999999999999999E-2</c:v>
                </c:pt>
                <c:pt idx="5">
                  <c:v>0.32200000000000001</c:v>
                </c:pt>
                <c:pt idx="6">
                  <c:v>-0.02</c:v>
                </c:pt>
                <c:pt idx="7">
                  <c:v>5.6000000000000001E-2</c:v>
                </c:pt>
                <c:pt idx="8">
                  <c:v>0.437</c:v>
                </c:pt>
                <c:pt idx="9">
                  <c:v>0.41399999999999998</c:v>
                </c:pt>
                <c:pt idx="10">
                  <c:v>-0.14499999999999999</c:v>
                </c:pt>
                <c:pt idx="11">
                  <c:v>-0.252</c:v>
                </c:pt>
                <c:pt idx="12">
                  <c:v>3.9E-2</c:v>
                </c:pt>
                <c:pt idx="13">
                  <c:v>-6.4000000000000001E-2</c:v>
                </c:pt>
                <c:pt idx="14">
                  <c:v>-0.13800000000000001</c:v>
                </c:pt>
                <c:pt idx="15">
                  <c:v>-0.104</c:v>
                </c:pt>
                <c:pt idx="16">
                  <c:v>0.78700000000000003</c:v>
                </c:pt>
                <c:pt idx="17">
                  <c:v>-7.2999999999999995E-2</c:v>
                </c:pt>
                <c:pt idx="18">
                  <c:v>0.42499999999999999</c:v>
                </c:pt>
                <c:pt idx="19">
                  <c:v>5.5E-2</c:v>
                </c:pt>
                <c:pt idx="20">
                  <c:v>-0.41899999999999998</c:v>
                </c:pt>
                <c:pt idx="21">
                  <c:v>0.61</c:v>
                </c:pt>
                <c:pt idx="22">
                  <c:v>0.10100000000000001</c:v>
                </c:pt>
                <c:pt idx="23">
                  <c:v>-0.56200000000000006</c:v>
                </c:pt>
                <c:pt idx="24">
                  <c:v>0.42499999999999999</c:v>
                </c:pt>
                <c:pt idx="25">
                  <c:v>-7.0000000000000007E-2</c:v>
                </c:pt>
                <c:pt idx="26">
                  <c:v>7.4999999999999997E-2</c:v>
                </c:pt>
                <c:pt idx="27">
                  <c:v>-0.52900000000000003</c:v>
                </c:pt>
                <c:pt idx="28">
                  <c:v>0.68</c:v>
                </c:pt>
                <c:pt idx="29">
                  <c:v>-0.106</c:v>
                </c:pt>
                <c:pt idx="30">
                  <c:v>-0.36099999999999999</c:v>
                </c:pt>
                <c:pt idx="31">
                  <c:v>-7.3999999999999996E-2</c:v>
                </c:pt>
                <c:pt idx="32">
                  <c:v>0.35699999999999998</c:v>
                </c:pt>
                <c:pt idx="33">
                  <c:v>-0.33200000000000002</c:v>
                </c:pt>
                <c:pt idx="34">
                  <c:v>0.61399999999999999</c:v>
                </c:pt>
                <c:pt idx="35">
                  <c:v>0.27</c:v>
                </c:pt>
                <c:pt idx="36">
                  <c:v>-0.192</c:v>
                </c:pt>
                <c:pt idx="37">
                  <c:v>0.05</c:v>
                </c:pt>
                <c:pt idx="38">
                  <c:v>0.254</c:v>
                </c:pt>
                <c:pt idx="39">
                  <c:v>-7.0999999999999994E-2</c:v>
                </c:pt>
                <c:pt idx="40">
                  <c:v>1.4E-2</c:v>
                </c:pt>
                <c:pt idx="41">
                  <c:v>0.13500000000000001</c:v>
                </c:pt>
                <c:pt idx="42">
                  <c:v>-0.19600000000000001</c:v>
                </c:pt>
                <c:pt idx="43">
                  <c:v>6.9000000000000006E-2</c:v>
                </c:pt>
                <c:pt idx="44">
                  <c:v>-0.23599999999999999</c:v>
                </c:pt>
                <c:pt idx="45">
                  <c:v>-0.29099999999999998</c:v>
                </c:pt>
                <c:pt idx="46">
                  <c:v>-2.1999999999999999E-2</c:v>
                </c:pt>
                <c:pt idx="47">
                  <c:v>-0.48899999999999999</c:v>
                </c:pt>
                <c:pt idx="48">
                  <c:v>0.19600000000000001</c:v>
                </c:pt>
                <c:pt idx="49">
                  <c:v>-0.35699999999999998</c:v>
                </c:pt>
                <c:pt idx="50">
                  <c:v>0.20699999999999999</c:v>
                </c:pt>
                <c:pt idx="51">
                  <c:v>-6.6000000000000003E-2</c:v>
                </c:pt>
                <c:pt idx="52">
                  <c:v>4.2999999999999997E-2</c:v>
                </c:pt>
                <c:pt idx="53">
                  <c:v>-0.58099999999999996</c:v>
                </c:pt>
                <c:pt idx="54">
                  <c:v>-0.20699999999999999</c:v>
                </c:pt>
                <c:pt idx="55">
                  <c:v>-2.1999999999999999E-2</c:v>
                </c:pt>
                <c:pt idx="56">
                  <c:v>0.41699999999999998</c:v>
                </c:pt>
                <c:pt idx="57">
                  <c:v>-0.45</c:v>
                </c:pt>
                <c:pt idx="58">
                  <c:v>1.228</c:v>
                </c:pt>
                <c:pt idx="59">
                  <c:v>-0.151</c:v>
                </c:pt>
                <c:pt idx="60">
                  <c:v>0.84299999999999997</c:v>
                </c:pt>
                <c:pt idx="61">
                  <c:v>0.25600000000000001</c:v>
                </c:pt>
                <c:pt idx="62">
                  <c:v>-0.61599999999999999</c:v>
                </c:pt>
                <c:pt idx="63">
                  <c:v>-0.19</c:v>
                </c:pt>
                <c:pt idx="64">
                  <c:v>0.89800000000000002</c:v>
                </c:pt>
                <c:pt idx="65">
                  <c:v>0.82399999999999995</c:v>
                </c:pt>
                <c:pt idx="66">
                  <c:v>0.64700000000000002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85-384B-8EF2-816924637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316752"/>
        <c:axId val="1052318464"/>
      </c:scatterChart>
      <c:valAx>
        <c:axId val="105231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18464"/>
        <c:crosses val="autoZero"/>
        <c:crossBetween val="midCat"/>
      </c:valAx>
      <c:valAx>
        <c:axId val="105231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1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Proline!$D$3:$D$8</c:f>
              <c:numCache>
                <c:formatCode>General</c:formatCode>
                <c:ptCount val="6"/>
                <c:pt idx="0">
                  <c:v>0.129</c:v>
                </c:pt>
                <c:pt idx="1">
                  <c:v>-0.54200000000000004</c:v>
                </c:pt>
                <c:pt idx="2">
                  <c:v>0.64600000000000002</c:v>
                </c:pt>
                <c:pt idx="3">
                  <c:v>-0.155</c:v>
                </c:pt>
                <c:pt idx="4">
                  <c:v>8.6999999999999994E-2</c:v>
                </c:pt>
                <c:pt idx="5">
                  <c:v>-0.16700000000000001</c:v>
                </c:pt>
              </c:numCache>
            </c:numRef>
          </c:xVal>
          <c:yVal>
            <c:numRef>
              <c:f>Proline!$H$3:$H$8</c:f>
              <c:numCache>
                <c:formatCode>General</c:formatCode>
                <c:ptCount val="6"/>
                <c:pt idx="0">
                  <c:v>7.4999999999999997E-2</c:v>
                </c:pt>
                <c:pt idx="1">
                  <c:v>-0.52900000000000003</c:v>
                </c:pt>
                <c:pt idx="2">
                  <c:v>0.68</c:v>
                </c:pt>
                <c:pt idx="3">
                  <c:v>-0.106</c:v>
                </c:pt>
                <c:pt idx="4">
                  <c:v>-0.36099999999999999</c:v>
                </c:pt>
                <c:pt idx="5">
                  <c:v>-7.3999999999999996E-2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4-B346-80B5-E5A4617A5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0252720"/>
        <c:axId val="1050254448"/>
      </c:scatterChart>
      <c:valAx>
        <c:axId val="10502527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54448"/>
        <c:crosses val="autoZero"/>
        <c:crossBetween val="midCat"/>
      </c:valAx>
      <c:valAx>
        <c:axId val="105025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252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ref 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Proline!$S$8:$U$8</c:f>
              <c:numCache>
                <c:formatCode>General</c:formatCode>
                <c:ptCount val="3"/>
                <c:pt idx="0">
                  <c:v>1.20075</c:v>
                </c:pt>
                <c:pt idx="1">
                  <c:v>1.1180000000000001</c:v>
                </c:pt>
                <c:pt idx="2">
                  <c:v>1.54525</c:v>
                </c:pt>
              </c:numCache>
            </c:numRef>
          </c:xVal>
          <c:yVal>
            <c:numRef>
              <c:f>Proline!$S$9:$U$9</c:f>
              <c:numCache>
                <c:formatCode>General</c:formatCode>
                <c:ptCount val="3"/>
                <c:pt idx="0">
                  <c:v>1.27525</c:v>
                </c:pt>
                <c:pt idx="1">
                  <c:v>0.9355</c:v>
                </c:pt>
                <c:pt idx="2">
                  <c:v>1.4982500000000001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F2-524A-A023-BE2E1B13FD1C}"/>
            </c:ext>
          </c:extLst>
        </c:ser>
        <c:ser>
          <c:idx val="1"/>
          <c:order val="1"/>
          <c:tx>
            <c:v>ref 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Proline!$S$22:$U$22</c:f>
              <c:numCache>
                <c:formatCode>General</c:formatCode>
                <c:ptCount val="3"/>
                <c:pt idx="0">
                  <c:v>0.79925000000000002</c:v>
                </c:pt>
                <c:pt idx="1">
                  <c:v>0.91725000000000001</c:v>
                </c:pt>
                <c:pt idx="2">
                  <c:v>1.3445</c:v>
                </c:pt>
              </c:numCache>
            </c:numRef>
          </c:xVal>
          <c:yVal>
            <c:numRef>
              <c:f>Proline!$S$23:$U$23</c:f>
              <c:numCache>
                <c:formatCode>General</c:formatCode>
                <c:ptCount val="3"/>
                <c:pt idx="0">
                  <c:v>0.72475000000000001</c:v>
                </c:pt>
                <c:pt idx="1">
                  <c:v>0.66025</c:v>
                </c:pt>
                <c:pt idx="2">
                  <c:v>1.2230000000000001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89-2048-8791-04E07A1F3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274144"/>
        <c:axId val="1051336768"/>
      </c:scatterChart>
      <c:valAx>
        <c:axId val="1051274144"/>
        <c:scaling>
          <c:orientation val="minMax"/>
          <c:min val="0.5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336768"/>
        <c:crosses val="autoZero"/>
        <c:crossBetween val="midCat"/>
      </c:valAx>
      <c:valAx>
        <c:axId val="1051336768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274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Arginine!$D$3:$D$11</c:f>
              <c:numCache>
                <c:formatCode>General</c:formatCode>
                <c:ptCount val="9"/>
                <c:pt idx="0">
                  <c:v>-0.218</c:v>
                </c:pt>
                <c:pt idx="1">
                  <c:v>-0.752</c:v>
                </c:pt>
                <c:pt idx="2">
                  <c:v>-0.184</c:v>
                </c:pt>
                <c:pt idx="3">
                  <c:v>0.123</c:v>
                </c:pt>
                <c:pt idx="4">
                  <c:v>0.156</c:v>
                </c:pt>
                <c:pt idx="5">
                  <c:v>-0.17199999999999999</c:v>
                </c:pt>
                <c:pt idx="6">
                  <c:v>0.69699999999999995</c:v>
                </c:pt>
                <c:pt idx="7">
                  <c:v>-0.25900000000000001</c:v>
                </c:pt>
                <c:pt idx="8">
                  <c:v>0.753</c:v>
                </c:pt>
              </c:numCache>
            </c:numRef>
          </c:xVal>
          <c:yVal>
            <c:numRef>
              <c:f>Arginine!$H$3:$H$11</c:f>
              <c:numCache>
                <c:formatCode>General</c:formatCode>
                <c:ptCount val="9"/>
                <c:pt idx="0">
                  <c:v>4.2999999999999997E-2</c:v>
                </c:pt>
                <c:pt idx="1">
                  <c:v>-0.58099999999999996</c:v>
                </c:pt>
                <c:pt idx="2">
                  <c:v>-0.20699999999999999</c:v>
                </c:pt>
                <c:pt idx="3">
                  <c:v>-2.1999999999999999E-2</c:v>
                </c:pt>
                <c:pt idx="4">
                  <c:v>0.41699999999999998</c:v>
                </c:pt>
                <c:pt idx="5">
                  <c:v>-0.45</c:v>
                </c:pt>
                <c:pt idx="6">
                  <c:v>1.228</c:v>
                </c:pt>
                <c:pt idx="7">
                  <c:v>-0.151</c:v>
                </c:pt>
                <c:pt idx="8">
                  <c:v>0.84299999999999997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71-0749-8E68-E84552C73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3467920"/>
        <c:axId val="1053469632"/>
      </c:scatterChart>
      <c:valAx>
        <c:axId val="10534679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9632"/>
        <c:crosses val="autoZero"/>
        <c:crossBetween val="midCat"/>
      </c:valAx>
      <c:valAx>
        <c:axId val="105346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46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2Ns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Serine!$D$3:$D$9</c:f>
              <c:numCache>
                <c:formatCode>General</c:formatCode>
                <c:ptCount val="7"/>
                <c:pt idx="0">
                  <c:v>5.3999999999999999E-2</c:v>
                </c:pt>
                <c:pt idx="1">
                  <c:v>4.3999999999999997E-2</c:v>
                </c:pt>
                <c:pt idx="2">
                  <c:v>0.45500000000000002</c:v>
                </c:pt>
                <c:pt idx="3">
                  <c:v>2.4E-2</c:v>
                </c:pt>
                <c:pt idx="4">
                  <c:v>-0.37</c:v>
                </c:pt>
                <c:pt idx="5">
                  <c:v>0.10299999999999999</c:v>
                </c:pt>
                <c:pt idx="6">
                  <c:v>9.1999999999999998E-2</c:v>
                </c:pt>
              </c:numCache>
            </c:numRef>
          </c:xVal>
          <c:yVal>
            <c:numRef>
              <c:f>Serine!$H$3:$H$9</c:f>
              <c:numCache>
                <c:formatCode>General</c:formatCode>
                <c:ptCount val="7"/>
                <c:pt idx="0">
                  <c:v>5.5E-2</c:v>
                </c:pt>
                <c:pt idx="1">
                  <c:v>-0.41899999999999998</c:v>
                </c:pt>
                <c:pt idx="2">
                  <c:v>0.61</c:v>
                </c:pt>
                <c:pt idx="3">
                  <c:v>0.10100000000000001</c:v>
                </c:pt>
                <c:pt idx="4">
                  <c:v>-0.56200000000000006</c:v>
                </c:pt>
                <c:pt idx="5">
                  <c:v>0.42499999999999999</c:v>
                </c:pt>
                <c:pt idx="6">
                  <c:v>-7.0000000000000007E-2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4-1C49-BEA0-13AA5F592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769264"/>
        <c:axId val="1052756352"/>
      </c:scatterChart>
      <c:valAx>
        <c:axId val="1052769264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56352"/>
        <c:crosses val="autoZero"/>
        <c:crossBetween val="midCat"/>
      </c:valAx>
      <c:valAx>
        <c:axId val="105275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6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2Ns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Valine!$D$3:$D$8</c:f>
              <c:numCache>
                <c:formatCode>General</c:formatCode>
                <c:ptCount val="6"/>
                <c:pt idx="0">
                  <c:v>5.0999999999999997E-2</c:v>
                </c:pt>
                <c:pt idx="1">
                  <c:v>0.502</c:v>
                </c:pt>
                <c:pt idx="2">
                  <c:v>3.5999999999999997E-2</c:v>
                </c:pt>
                <c:pt idx="3">
                  <c:v>0.495</c:v>
                </c:pt>
                <c:pt idx="4">
                  <c:v>-0.42599999999999999</c:v>
                </c:pt>
                <c:pt idx="5">
                  <c:v>0.371</c:v>
                </c:pt>
              </c:numCache>
            </c:numRef>
          </c:xVal>
          <c:yVal>
            <c:numRef>
              <c:f>Valine!$H$3:$H$8</c:f>
              <c:numCache>
                <c:formatCode>General</c:formatCode>
                <c:ptCount val="6"/>
                <c:pt idx="0">
                  <c:v>-6.4000000000000001E-2</c:v>
                </c:pt>
                <c:pt idx="1">
                  <c:v>-0.13800000000000001</c:v>
                </c:pt>
                <c:pt idx="2">
                  <c:v>-0.104</c:v>
                </c:pt>
                <c:pt idx="3">
                  <c:v>0.78700000000000003</c:v>
                </c:pt>
                <c:pt idx="4">
                  <c:v>-7.2999999999999995E-2</c:v>
                </c:pt>
                <c:pt idx="5">
                  <c:v>0.42499999999999999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5E-6040-9AEE-3AD8F5A35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300528"/>
        <c:axId val="1052302240"/>
      </c:scatterChart>
      <c:valAx>
        <c:axId val="10523005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02240"/>
        <c:crosses val="autoZero"/>
        <c:crossBetween val="midCat"/>
      </c:valAx>
      <c:valAx>
        <c:axId val="105230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300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2Ns normalized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Valine!$M$3:$M$8</c:f>
              <c:numCache>
                <c:formatCode>General</c:formatCode>
                <c:ptCount val="6"/>
                <c:pt idx="0">
                  <c:v>5.0999999999999997E-2</c:v>
                </c:pt>
                <c:pt idx="1">
                  <c:v>0.502</c:v>
                </c:pt>
                <c:pt idx="2">
                  <c:v>3.5999999999999997E-2</c:v>
                </c:pt>
                <c:pt idx="3">
                  <c:v>0.495</c:v>
                </c:pt>
                <c:pt idx="4">
                  <c:v>-0.42599999999999999</c:v>
                </c:pt>
                <c:pt idx="5">
                  <c:v>0.371</c:v>
                </c:pt>
              </c:numCache>
            </c:numRef>
          </c:xVal>
          <c:yVal>
            <c:numRef>
              <c:f>Valine!$Q$3:$Q$8</c:f>
              <c:numCache>
                <c:formatCode>General</c:formatCode>
                <c:ptCount val="6"/>
                <c:pt idx="0">
                  <c:v>-6.4000000000000001E-2</c:v>
                </c:pt>
                <c:pt idx="1">
                  <c:v>0.13800000000000001</c:v>
                </c:pt>
                <c:pt idx="2">
                  <c:v>-0.104</c:v>
                </c:pt>
                <c:pt idx="3">
                  <c:v>0.78700000000000003</c:v>
                </c:pt>
                <c:pt idx="4">
                  <c:v>-7.2999999999999995E-2</c:v>
                </c:pt>
                <c:pt idx="5">
                  <c:v>0.42499999999999999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76-6A4F-9D91-3BADB107C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473872"/>
        <c:axId val="1051475584"/>
      </c:scatterChart>
      <c:valAx>
        <c:axId val="10514738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75584"/>
        <c:crosses val="autoZero"/>
        <c:crossBetween val="midCat"/>
      </c:valAx>
      <c:valAx>
        <c:axId val="10514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73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482600</xdr:colOff>
      <xdr:row>2</xdr:row>
      <xdr:rowOff>0</xdr:rowOff>
    </xdr:from>
    <xdr:to>
      <xdr:col>15</xdr:col>
      <xdr:colOff>292100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DDD90A-516D-4C06-595E-BE28911D4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215900</xdr:colOff>
      <xdr:row>9</xdr:row>
      <xdr:rowOff>12700</xdr:rowOff>
    </xdr:from>
    <xdr:to>
      <xdr:col>7</xdr:col>
      <xdr:colOff>165100</xdr:colOff>
      <xdr:row>25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7BD4C1-4CAF-3A22-FD4D-83546921C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450850</xdr:colOff>
      <xdr:row>26</xdr:row>
      <xdr:rowOff>190500</xdr:rowOff>
    </xdr:from>
    <xdr:to>
      <xdr:col>23</xdr:col>
      <xdr:colOff>0</xdr:colOff>
      <xdr:row>44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4C16FD-F8F5-7153-88B1-9DBB4C2B71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12</xdr:row>
      <xdr:rowOff>12700</xdr:rowOff>
    </xdr:from>
    <xdr:to>
      <xdr:col>6</xdr:col>
      <xdr:colOff>393700</xdr:colOff>
      <xdr:row>27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8B1C7F-0133-089E-7C49-48E5E4E87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10</xdr:row>
      <xdr:rowOff>127000</xdr:rowOff>
    </xdr:from>
    <xdr:to>
      <xdr:col>7</xdr:col>
      <xdr:colOff>533400</xdr:colOff>
      <xdr:row>28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1DF78-4B38-7DFE-A692-EEE7EE6B1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9</xdr:row>
      <xdr:rowOff>12700</xdr:rowOff>
    </xdr:from>
    <xdr:to>
      <xdr:col>8</xdr:col>
      <xdr:colOff>12700</xdr:colOff>
      <xdr:row>27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3D1F6-D98C-45D8-DC4D-E3C7F6FB2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38100</xdr:colOff>
      <xdr:row>9</xdr:row>
      <xdr:rowOff>25400</xdr:rowOff>
    </xdr:from>
    <xdr:to>
      <xdr:col>16</xdr:col>
      <xdr:colOff>622300</xdr:colOff>
      <xdr:row>27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3514EE-5A17-4A0C-FD90-C156FD9F3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0519-FEDA-1E4C-B0E1-4684BBE97B6E}">
  <dimension ref="A1:H68"/>
  <sheetViews>
    <sheetView workbookViewId="0">
      <pane ySplit="1" topLeftCell="A2" activePane="bottomLeft" state="frozen"/>
      <selection pane="bottomLeft" activeCell="G1" activeCellId="1" sqref="A1:B1048576 G1:H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75</v>
      </c>
      <c r="D2">
        <v>908.93</v>
      </c>
      <c r="E2">
        <v>6.0514999999999999</v>
      </c>
      <c r="F2">
        <v>2.07E-2</v>
      </c>
      <c r="G2">
        <v>0.16400000000000001</v>
      </c>
      <c r="H2">
        <v>-0.124</v>
      </c>
    </row>
    <row r="3" spans="1:8" x14ac:dyDescent="0.2">
      <c r="A3" t="s">
        <v>10</v>
      </c>
      <c r="B3" t="s">
        <v>11</v>
      </c>
      <c r="C3">
        <v>75</v>
      </c>
      <c r="D3">
        <v>836.84400000000005</v>
      </c>
      <c r="E3">
        <v>6.1978999999999997</v>
      </c>
      <c r="F3">
        <v>2.6599999999999999E-2</v>
      </c>
      <c r="G3">
        <v>0.153</v>
      </c>
      <c r="H3">
        <v>0.125</v>
      </c>
    </row>
    <row r="4" spans="1:8" x14ac:dyDescent="0.2">
      <c r="A4" t="s">
        <v>12</v>
      </c>
      <c r="B4" t="s">
        <v>11</v>
      </c>
      <c r="C4">
        <v>75</v>
      </c>
      <c r="D4">
        <v>548.26099999999997</v>
      </c>
      <c r="E4">
        <v>0.42720000000000002</v>
      </c>
      <c r="F4">
        <v>0.23780000000000001</v>
      </c>
      <c r="G4">
        <v>0.78900000000000003</v>
      </c>
      <c r="H4">
        <v>0.158</v>
      </c>
    </row>
    <row r="5" spans="1:8" x14ac:dyDescent="0.2">
      <c r="A5" t="s">
        <v>13</v>
      </c>
      <c r="B5" t="s">
        <v>11</v>
      </c>
      <c r="C5">
        <v>75</v>
      </c>
      <c r="D5">
        <v>805.529</v>
      </c>
      <c r="E5">
        <v>8.9235000000000007</v>
      </c>
      <c r="F5">
        <v>3.04E-2</v>
      </c>
      <c r="G5">
        <v>0.109</v>
      </c>
      <c r="H5">
        <v>0.17299999999999999</v>
      </c>
    </row>
    <row r="6" spans="1:8" x14ac:dyDescent="0.2">
      <c r="A6" t="s">
        <v>14</v>
      </c>
      <c r="B6" t="s">
        <v>11</v>
      </c>
      <c r="C6">
        <v>75</v>
      </c>
      <c r="D6">
        <v>667.08</v>
      </c>
      <c r="E6">
        <v>5.2428999999999997</v>
      </c>
      <c r="F6">
        <v>6.5500000000000003E-2</v>
      </c>
      <c r="G6">
        <v>0.189</v>
      </c>
      <c r="H6">
        <v>6.0000000000000001E-3</v>
      </c>
    </row>
    <row r="7" spans="1:8" x14ac:dyDescent="0.2">
      <c r="A7" t="s">
        <v>15</v>
      </c>
      <c r="B7" t="s">
        <v>11</v>
      </c>
      <c r="C7">
        <v>75</v>
      </c>
      <c r="D7">
        <v>915.45699999999999</v>
      </c>
      <c r="E7">
        <v>10.427</v>
      </c>
      <c r="F7">
        <v>1.6199999999999999E-2</v>
      </c>
      <c r="G7">
        <v>9.4E-2</v>
      </c>
      <c r="H7">
        <v>4.9000000000000002E-2</v>
      </c>
    </row>
    <row r="8" spans="1:8" x14ac:dyDescent="0.2">
      <c r="A8" t="s">
        <v>16</v>
      </c>
      <c r="B8" t="s">
        <v>11</v>
      </c>
      <c r="C8">
        <v>75</v>
      </c>
      <c r="D8">
        <v>656.154</v>
      </c>
      <c r="E8">
        <v>1.2408999999999999</v>
      </c>
      <c r="F8">
        <v>0.1411</v>
      </c>
      <c r="G8">
        <v>0.55000000000000004</v>
      </c>
      <c r="H8">
        <v>3.4000000000000002E-2</v>
      </c>
    </row>
    <row r="9" spans="1:8" x14ac:dyDescent="0.2">
      <c r="A9" t="s">
        <v>17</v>
      </c>
      <c r="B9" t="s">
        <v>11</v>
      </c>
      <c r="C9">
        <v>75</v>
      </c>
      <c r="D9">
        <v>916.48500000000001</v>
      </c>
      <c r="E9">
        <v>7.7252000000000001</v>
      </c>
      <c r="F9">
        <v>1.7100000000000001E-2</v>
      </c>
      <c r="G9">
        <v>0.127</v>
      </c>
      <c r="H9">
        <v>3.7999999999999999E-2</v>
      </c>
    </row>
    <row r="10" spans="1:8" x14ac:dyDescent="0.2">
      <c r="A10" t="s">
        <v>18</v>
      </c>
      <c r="B10" t="s">
        <v>11</v>
      </c>
      <c r="C10">
        <v>75</v>
      </c>
      <c r="D10">
        <v>689.69299999999998</v>
      </c>
      <c r="E10">
        <v>4.4169</v>
      </c>
      <c r="F10">
        <v>6.5299999999999997E-2</v>
      </c>
      <c r="G10">
        <v>0.218</v>
      </c>
      <c r="H10">
        <v>4.9000000000000002E-2</v>
      </c>
    </row>
    <row r="11" spans="1:8" x14ac:dyDescent="0.2">
      <c r="A11" t="s">
        <v>19</v>
      </c>
      <c r="B11" t="s">
        <v>11</v>
      </c>
      <c r="C11">
        <v>75</v>
      </c>
      <c r="D11">
        <v>796.61599999999999</v>
      </c>
      <c r="E11">
        <v>8.8009000000000004</v>
      </c>
      <c r="F11">
        <v>5.4199999999999998E-2</v>
      </c>
      <c r="G11">
        <v>0.112</v>
      </c>
      <c r="H11">
        <v>0.42199999999999999</v>
      </c>
    </row>
    <row r="12" spans="1:8" x14ac:dyDescent="0.2">
      <c r="A12" t="s">
        <v>20</v>
      </c>
      <c r="B12" t="s">
        <v>21</v>
      </c>
      <c r="C12">
        <v>75</v>
      </c>
      <c r="D12">
        <v>845.17399999999998</v>
      </c>
      <c r="E12">
        <v>6.2473000000000001</v>
      </c>
      <c r="F12">
        <v>3.7699999999999997E-2</v>
      </c>
      <c r="G12">
        <v>0.16900000000000001</v>
      </c>
      <c r="H12">
        <v>-0.28899999999999998</v>
      </c>
    </row>
    <row r="13" spans="1:8" x14ac:dyDescent="0.2">
      <c r="A13" t="s">
        <v>22</v>
      </c>
      <c r="B13" t="s">
        <v>21</v>
      </c>
      <c r="C13">
        <v>75</v>
      </c>
      <c r="D13">
        <v>615.27300000000002</v>
      </c>
      <c r="E13">
        <v>0.75449999999999995</v>
      </c>
      <c r="F13">
        <v>0.14230000000000001</v>
      </c>
      <c r="G13">
        <v>0.69599999999999995</v>
      </c>
      <c r="H13">
        <v>-4.3999999999999997E-2</v>
      </c>
    </row>
    <row r="14" spans="1:8" x14ac:dyDescent="0.2">
      <c r="A14" t="s">
        <v>23</v>
      </c>
      <c r="B14" t="s">
        <v>21</v>
      </c>
      <c r="C14">
        <v>75</v>
      </c>
      <c r="D14">
        <v>780.69799999999998</v>
      </c>
      <c r="E14">
        <v>12.835699999999999</v>
      </c>
      <c r="F14">
        <v>2.7900000000000001E-2</v>
      </c>
      <c r="G14">
        <v>7.3999999999999996E-2</v>
      </c>
      <c r="H14">
        <v>0.14000000000000001</v>
      </c>
    </row>
    <row r="15" spans="1:8" x14ac:dyDescent="0.2">
      <c r="A15" t="s">
        <v>24</v>
      </c>
      <c r="B15" t="s">
        <v>25</v>
      </c>
      <c r="C15">
        <v>75</v>
      </c>
      <c r="D15">
        <v>753.346</v>
      </c>
      <c r="E15">
        <v>4.7031999999999998</v>
      </c>
      <c r="F15">
        <v>4.9299999999999997E-2</v>
      </c>
      <c r="G15">
        <v>0.19700000000000001</v>
      </c>
      <c r="H15">
        <v>5.0999999999999997E-2</v>
      </c>
    </row>
    <row r="16" spans="1:8" x14ac:dyDescent="0.2">
      <c r="A16" s="2" t="s">
        <v>26</v>
      </c>
      <c r="B16" s="2" t="s">
        <v>25</v>
      </c>
      <c r="C16" s="2">
        <v>35</v>
      </c>
      <c r="D16" s="2">
        <v>235.15</v>
      </c>
      <c r="E16" s="2">
        <v>0.30470000000000003</v>
      </c>
      <c r="F16" s="2">
        <v>0.34200000000000003</v>
      </c>
      <c r="G16" s="2">
        <v>0.83099999999999996</v>
      </c>
      <c r="H16" s="2">
        <v>0.502</v>
      </c>
    </row>
    <row r="17" spans="1:8" x14ac:dyDescent="0.2">
      <c r="A17" t="s">
        <v>27</v>
      </c>
      <c r="B17" t="s">
        <v>25</v>
      </c>
      <c r="C17">
        <v>75</v>
      </c>
      <c r="D17">
        <v>807.61099999999999</v>
      </c>
      <c r="E17">
        <v>8.7037999999999993</v>
      </c>
      <c r="F17">
        <v>2.76E-2</v>
      </c>
      <c r="G17">
        <v>0.112</v>
      </c>
      <c r="H17">
        <v>3.5999999999999997E-2</v>
      </c>
    </row>
    <row r="18" spans="1:8" x14ac:dyDescent="0.2">
      <c r="A18" t="s">
        <v>28</v>
      </c>
      <c r="B18" t="s">
        <v>25</v>
      </c>
      <c r="C18">
        <v>68</v>
      </c>
      <c r="D18">
        <v>595.44299999999998</v>
      </c>
      <c r="E18">
        <v>7.9046000000000003</v>
      </c>
      <c r="F18">
        <v>8.1000000000000003E-2</v>
      </c>
      <c r="G18">
        <v>0.11600000000000001</v>
      </c>
      <c r="H18">
        <v>0.495</v>
      </c>
    </row>
    <row r="19" spans="1:8" x14ac:dyDescent="0.2">
      <c r="A19" t="s">
        <v>29</v>
      </c>
      <c r="B19" t="s">
        <v>25</v>
      </c>
      <c r="C19">
        <v>75</v>
      </c>
      <c r="D19">
        <v>652.46100000000001</v>
      </c>
      <c r="E19">
        <v>1.1044</v>
      </c>
      <c r="F19">
        <v>0.18840000000000001</v>
      </c>
      <c r="G19">
        <v>0.64500000000000002</v>
      </c>
      <c r="H19">
        <v>-0.42599999999999999</v>
      </c>
    </row>
    <row r="20" spans="1:8" x14ac:dyDescent="0.2">
      <c r="A20" t="s">
        <v>30</v>
      </c>
      <c r="B20" t="s">
        <v>25</v>
      </c>
      <c r="C20">
        <v>75</v>
      </c>
      <c r="D20">
        <v>872.49</v>
      </c>
      <c r="E20">
        <v>10.088800000000001</v>
      </c>
      <c r="F20">
        <v>3.6299999999999999E-2</v>
      </c>
      <c r="G20">
        <v>9.4E-2</v>
      </c>
      <c r="H20">
        <v>0.371</v>
      </c>
    </row>
    <row r="21" spans="1:8" x14ac:dyDescent="0.2">
      <c r="A21" t="s">
        <v>31</v>
      </c>
      <c r="B21" t="s">
        <v>32</v>
      </c>
      <c r="C21">
        <v>75</v>
      </c>
      <c r="D21">
        <v>823.47799999999995</v>
      </c>
      <c r="E21">
        <v>7.2145999999999999</v>
      </c>
      <c r="F21">
        <v>2.69E-2</v>
      </c>
      <c r="G21">
        <v>0.13300000000000001</v>
      </c>
      <c r="H21">
        <v>5.3999999999999999E-2</v>
      </c>
    </row>
    <row r="22" spans="1:8" x14ac:dyDescent="0.2">
      <c r="A22" s="2" t="s">
        <v>33</v>
      </c>
      <c r="B22" s="2" t="s">
        <v>32</v>
      </c>
      <c r="C22" s="2">
        <v>26</v>
      </c>
      <c r="D22" s="2">
        <v>178.06700000000001</v>
      </c>
      <c r="E22" s="2">
        <v>0.19769999999999999</v>
      </c>
      <c r="F22" s="2">
        <v>0.21640000000000001</v>
      </c>
      <c r="G22" s="2">
        <v>1.0860000000000001</v>
      </c>
      <c r="H22" s="2">
        <v>4.3999999999999997E-2</v>
      </c>
    </row>
    <row r="23" spans="1:8" x14ac:dyDescent="0.2">
      <c r="A23" t="s">
        <v>34</v>
      </c>
      <c r="B23" t="s">
        <v>32</v>
      </c>
      <c r="C23">
        <v>75</v>
      </c>
      <c r="D23">
        <v>634.51</v>
      </c>
      <c r="E23">
        <v>5.1973000000000003</v>
      </c>
      <c r="F23">
        <v>0.13980000000000001</v>
      </c>
      <c r="G23">
        <v>0.185</v>
      </c>
      <c r="H23">
        <v>0.45500000000000002</v>
      </c>
    </row>
    <row r="24" spans="1:8" x14ac:dyDescent="0.2">
      <c r="A24" t="s">
        <v>35</v>
      </c>
      <c r="B24" t="s">
        <v>32</v>
      </c>
      <c r="C24">
        <v>75</v>
      </c>
      <c r="D24">
        <v>724.173</v>
      </c>
      <c r="E24">
        <v>5.5620000000000003</v>
      </c>
      <c r="F24">
        <v>5.2400000000000002E-2</v>
      </c>
      <c r="G24">
        <v>0.17199999999999999</v>
      </c>
      <c r="H24">
        <v>2.4E-2</v>
      </c>
    </row>
    <row r="25" spans="1:8" x14ac:dyDescent="0.2">
      <c r="A25" t="s">
        <v>36</v>
      </c>
      <c r="B25" t="s">
        <v>32</v>
      </c>
      <c r="C25">
        <v>75</v>
      </c>
      <c r="D25">
        <v>615.71</v>
      </c>
      <c r="E25">
        <v>0.55289999999999995</v>
      </c>
      <c r="F25">
        <v>0.23300000000000001</v>
      </c>
      <c r="G25">
        <v>0.83699999999999997</v>
      </c>
      <c r="H25">
        <v>-0.37</v>
      </c>
    </row>
    <row r="26" spans="1:8" x14ac:dyDescent="0.2">
      <c r="A26" t="s">
        <v>37</v>
      </c>
      <c r="B26" t="s">
        <v>32</v>
      </c>
      <c r="C26">
        <v>75</v>
      </c>
      <c r="D26">
        <v>783.78</v>
      </c>
      <c r="E26">
        <v>4.7237</v>
      </c>
      <c r="F26">
        <v>3.9399999999999998E-2</v>
      </c>
      <c r="G26">
        <v>0.20100000000000001</v>
      </c>
      <c r="H26">
        <v>0.10299999999999999</v>
      </c>
    </row>
    <row r="27" spans="1:8" x14ac:dyDescent="0.2">
      <c r="A27" t="s">
        <v>38</v>
      </c>
      <c r="B27" t="s">
        <v>32</v>
      </c>
      <c r="C27">
        <v>75</v>
      </c>
      <c r="D27">
        <v>781.279</v>
      </c>
      <c r="E27">
        <v>3.2961999999999998</v>
      </c>
      <c r="F27">
        <v>4.99E-2</v>
      </c>
      <c r="G27">
        <v>0.27600000000000002</v>
      </c>
      <c r="H27">
        <v>9.1999999999999998E-2</v>
      </c>
    </row>
    <row r="28" spans="1:8" x14ac:dyDescent="0.2">
      <c r="A28" t="s">
        <v>39</v>
      </c>
      <c r="B28" t="s">
        <v>40</v>
      </c>
      <c r="C28">
        <v>75</v>
      </c>
      <c r="D28">
        <v>793.529</v>
      </c>
      <c r="E28">
        <v>5.2171000000000003</v>
      </c>
      <c r="F28">
        <v>4.1599999999999998E-2</v>
      </c>
      <c r="G28">
        <v>0.182</v>
      </c>
      <c r="H28">
        <v>0.129</v>
      </c>
    </row>
    <row r="29" spans="1:8" x14ac:dyDescent="0.2">
      <c r="A29" t="s">
        <v>41</v>
      </c>
      <c r="B29" t="s">
        <v>40</v>
      </c>
      <c r="C29">
        <v>39</v>
      </c>
      <c r="D29">
        <v>266.637</v>
      </c>
      <c r="E29">
        <v>0.3584</v>
      </c>
      <c r="F29">
        <v>0.39639999999999997</v>
      </c>
      <c r="G29">
        <v>1.234</v>
      </c>
      <c r="H29">
        <v>-0.54200000000000004</v>
      </c>
    </row>
    <row r="30" spans="1:8" x14ac:dyDescent="0.2">
      <c r="A30" t="s">
        <v>42</v>
      </c>
      <c r="B30" t="s">
        <v>40</v>
      </c>
      <c r="C30">
        <v>69</v>
      </c>
      <c r="D30">
        <v>566.18899999999996</v>
      </c>
      <c r="E30">
        <v>3.6869000000000001</v>
      </c>
      <c r="F30">
        <v>0.1888</v>
      </c>
      <c r="G30">
        <v>0.22500000000000001</v>
      </c>
      <c r="H30">
        <v>0.64600000000000002</v>
      </c>
    </row>
    <row r="31" spans="1:8" x14ac:dyDescent="0.2">
      <c r="A31" t="s">
        <v>43</v>
      </c>
      <c r="B31" t="s">
        <v>40</v>
      </c>
      <c r="C31">
        <v>75</v>
      </c>
      <c r="D31">
        <v>747.07299999999998</v>
      </c>
      <c r="E31">
        <v>4.3384999999999998</v>
      </c>
      <c r="F31">
        <v>5.0599999999999999E-2</v>
      </c>
      <c r="G31">
        <v>0.218</v>
      </c>
      <c r="H31">
        <v>-0.155</v>
      </c>
    </row>
    <row r="32" spans="1:8" x14ac:dyDescent="0.2">
      <c r="A32" t="s">
        <v>44</v>
      </c>
      <c r="B32" t="s">
        <v>40</v>
      </c>
      <c r="C32">
        <v>75</v>
      </c>
      <c r="D32">
        <v>633.452</v>
      </c>
      <c r="E32">
        <v>1.528</v>
      </c>
      <c r="F32">
        <v>0.1061</v>
      </c>
      <c r="G32">
        <v>0.45100000000000001</v>
      </c>
      <c r="H32">
        <v>8.6999999999999994E-2</v>
      </c>
    </row>
    <row r="33" spans="1:8" x14ac:dyDescent="0.2">
      <c r="A33" t="s">
        <v>45</v>
      </c>
      <c r="B33" t="s">
        <v>40</v>
      </c>
      <c r="C33">
        <v>75</v>
      </c>
      <c r="D33">
        <v>772.572</v>
      </c>
      <c r="E33">
        <v>2.4958</v>
      </c>
      <c r="F33">
        <v>5.7000000000000002E-2</v>
      </c>
      <c r="G33">
        <v>0.35799999999999998</v>
      </c>
      <c r="H33">
        <v>-0.16700000000000001</v>
      </c>
    </row>
    <row r="34" spans="1:8" x14ac:dyDescent="0.2">
      <c r="A34" t="s">
        <v>46</v>
      </c>
      <c r="B34" t="s">
        <v>47</v>
      </c>
      <c r="C34">
        <v>75</v>
      </c>
      <c r="D34">
        <v>818.01099999999997</v>
      </c>
      <c r="E34">
        <v>6.2304000000000004</v>
      </c>
      <c r="F34">
        <v>3.1699999999999999E-2</v>
      </c>
      <c r="G34">
        <v>0.159</v>
      </c>
      <c r="H34">
        <v>6.4000000000000001E-2</v>
      </c>
    </row>
    <row r="35" spans="1:8" x14ac:dyDescent="0.2">
      <c r="A35" t="s">
        <v>48</v>
      </c>
      <c r="B35" t="s">
        <v>47</v>
      </c>
      <c r="C35">
        <v>75</v>
      </c>
      <c r="D35">
        <v>595.298</v>
      </c>
      <c r="E35">
        <v>0.78749999999999998</v>
      </c>
      <c r="F35">
        <v>0.16689999999999999</v>
      </c>
      <c r="G35">
        <v>0.71699999999999997</v>
      </c>
      <c r="H35">
        <v>-0.20899999999999999</v>
      </c>
    </row>
    <row r="36" spans="1:8" x14ac:dyDescent="0.2">
      <c r="A36" t="s">
        <v>49</v>
      </c>
      <c r="B36" t="s">
        <v>47</v>
      </c>
      <c r="C36">
        <v>75</v>
      </c>
      <c r="D36">
        <v>640.45000000000005</v>
      </c>
      <c r="E36">
        <v>3.0270000000000001</v>
      </c>
      <c r="F36">
        <v>0.1026</v>
      </c>
      <c r="G36">
        <v>0.312</v>
      </c>
      <c r="H36">
        <v>0.14699999999999999</v>
      </c>
    </row>
    <row r="37" spans="1:8" x14ac:dyDescent="0.2">
      <c r="A37" t="s">
        <v>50</v>
      </c>
      <c r="B37" t="s">
        <v>47</v>
      </c>
      <c r="C37">
        <v>75</v>
      </c>
      <c r="D37">
        <v>766.63</v>
      </c>
      <c r="E37">
        <v>7.3310000000000004</v>
      </c>
      <c r="F37">
        <v>4.9500000000000002E-2</v>
      </c>
      <c r="G37">
        <v>0.124</v>
      </c>
      <c r="H37">
        <v>0.35299999999999998</v>
      </c>
    </row>
    <row r="38" spans="1:8" x14ac:dyDescent="0.2">
      <c r="A38" t="s">
        <v>51</v>
      </c>
      <c r="B38" t="s">
        <v>47</v>
      </c>
      <c r="C38">
        <v>75</v>
      </c>
      <c r="D38">
        <v>632.11</v>
      </c>
      <c r="E38">
        <v>1.3742000000000001</v>
      </c>
      <c r="F38">
        <v>0.1399</v>
      </c>
      <c r="G38">
        <v>0.55000000000000004</v>
      </c>
      <c r="H38">
        <v>-0.29099999999999998</v>
      </c>
    </row>
    <row r="39" spans="1:8" x14ac:dyDescent="0.2">
      <c r="A39" t="s">
        <v>52</v>
      </c>
      <c r="B39" t="s">
        <v>47</v>
      </c>
      <c r="C39">
        <v>75</v>
      </c>
      <c r="D39">
        <v>761.14599999999996</v>
      </c>
      <c r="E39">
        <v>3.5537000000000001</v>
      </c>
      <c r="F39">
        <v>5.3699999999999998E-2</v>
      </c>
      <c r="G39">
        <v>0.27</v>
      </c>
      <c r="H39">
        <v>-0.161</v>
      </c>
    </row>
    <row r="40" spans="1:8" x14ac:dyDescent="0.2">
      <c r="A40" t="s">
        <v>53</v>
      </c>
      <c r="B40" t="s">
        <v>54</v>
      </c>
      <c r="C40">
        <v>75</v>
      </c>
      <c r="D40">
        <v>862.83100000000002</v>
      </c>
      <c r="E40">
        <v>6.53</v>
      </c>
      <c r="F40">
        <v>3.2000000000000001E-2</v>
      </c>
      <c r="G40">
        <v>0.14699999999999999</v>
      </c>
      <c r="H40">
        <v>0.17199999999999999</v>
      </c>
    </row>
    <row r="41" spans="1:8" x14ac:dyDescent="0.2">
      <c r="A41" t="s">
        <v>55</v>
      </c>
      <c r="B41" t="s">
        <v>54</v>
      </c>
      <c r="C41">
        <v>75</v>
      </c>
      <c r="D41">
        <v>575.14700000000005</v>
      </c>
      <c r="E41">
        <v>0.51539999999999997</v>
      </c>
      <c r="F41">
        <v>0.23960000000000001</v>
      </c>
      <c r="G41">
        <v>0.81399999999999995</v>
      </c>
      <c r="H41">
        <v>-0.17799999999999999</v>
      </c>
    </row>
    <row r="42" spans="1:8" x14ac:dyDescent="0.2">
      <c r="A42" t="s">
        <v>56</v>
      </c>
      <c r="B42" t="s">
        <v>54</v>
      </c>
      <c r="C42">
        <v>75</v>
      </c>
      <c r="D42">
        <v>636.202</v>
      </c>
      <c r="E42">
        <v>2.8386999999999998</v>
      </c>
      <c r="F42">
        <v>0.11550000000000001</v>
      </c>
      <c r="G42">
        <v>0.30499999999999999</v>
      </c>
      <c r="H42">
        <v>0.17699999999999999</v>
      </c>
    </row>
    <row r="43" spans="1:8" x14ac:dyDescent="0.2">
      <c r="A43" t="s">
        <v>57</v>
      </c>
      <c r="B43" t="s">
        <v>54</v>
      </c>
      <c r="C43">
        <v>75</v>
      </c>
      <c r="D43">
        <v>785.39</v>
      </c>
      <c r="E43">
        <v>6.6821999999999999</v>
      </c>
      <c r="F43">
        <v>4.9099999999999998E-2</v>
      </c>
      <c r="G43">
        <v>0.14299999999999999</v>
      </c>
      <c r="H43">
        <v>0.24</v>
      </c>
    </row>
    <row r="44" spans="1:8" x14ac:dyDescent="0.2">
      <c r="A44" t="s">
        <v>58</v>
      </c>
      <c r="B44" t="s">
        <v>54</v>
      </c>
      <c r="C44">
        <v>75</v>
      </c>
      <c r="D44">
        <v>670.88499999999999</v>
      </c>
      <c r="E44">
        <v>2.3018999999999998</v>
      </c>
      <c r="F44">
        <v>8.0199999999999994E-2</v>
      </c>
      <c r="G44">
        <v>0.372</v>
      </c>
      <c r="H44">
        <v>-4.3999999999999997E-2</v>
      </c>
    </row>
    <row r="45" spans="1:8" x14ac:dyDescent="0.2">
      <c r="A45" t="s">
        <v>59</v>
      </c>
      <c r="B45" t="s">
        <v>54</v>
      </c>
      <c r="C45">
        <v>75</v>
      </c>
      <c r="D45">
        <v>747.82399999999996</v>
      </c>
      <c r="E45">
        <v>3.2406999999999999</v>
      </c>
      <c r="F45">
        <v>5.8500000000000003E-2</v>
      </c>
      <c r="G45">
        <v>0.28100000000000003</v>
      </c>
      <c r="H45">
        <v>4.7E-2</v>
      </c>
    </row>
    <row r="46" spans="1:8" x14ac:dyDescent="0.2">
      <c r="A46" t="s">
        <v>60</v>
      </c>
      <c r="B46" t="s">
        <v>61</v>
      </c>
      <c r="C46">
        <v>75</v>
      </c>
      <c r="D46">
        <v>821.09900000000005</v>
      </c>
      <c r="E46">
        <v>3.8170000000000002</v>
      </c>
      <c r="F46">
        <v>5.8200000000000002E-2</v>
      </c>
      <c r="G46">
        <v>0.252</v>
      </c>
      <c r="H46">
        <v>-0.31</v>
      </c>
    </row>
    <row r="47" spans="1:8" x14ac:dyDescent="0.2">
      <c r="A47" t="s">
        <v>62</v>
      </c>
      <c r="B47" t="s">
        <v>63</v>
      </c>
      <c r="C47">
        <v>75</v>
      </c>
      <c r="D47">
        <v>801.84500000000003</v>
      </c>
      <c r="E47">
        <v>3.8662000000000001</v>
      </c>
      <c r="F47">
        <v>4.5999999999999999E-2</v>
      </c>
      <c r="G47">
        <v>0.246</v>
      </c>
      <c r="H47">
        <v>-0.16600000000000001</v>
      </c>
    </row>
    <row r="48" spans="1:8" x14ac:dyDescent="0.2">
      <c r="A48" t="s">
        <v>64</v>
      </c>
      <c r="B48" t="s">
        <v>65</v>
      </c>
      <c r="C48">
        <v>75</v>
      </c>
      <c r="D48">
        <v>902.36699999999996</v>
      </c>
      <c r="E48">
        <v>7.8609999999999998</v>
      </c>
      <c r="F48">
        <v>2.3599999999999999E-2</v>
      </c>
      <c r="G48">
        <v>0.124</v>
      </c>
      <c r="H48">
        <v>0.152</v>
      </c>
    </row>
    <row r="49" spans="1:8" x14ac:dyDescent="0.2">
      <c r="A49" t="s">
        <v>66</v>
      </c>
      <c r="B49" t="s">
        <v>67</v>
      </c>
      <c r="C49">
        <v>75</v>
      </c>
      <c r="D49">
        <v>840.14300000000003</v>
      </c>
      <c r="E49">
        <v>2.9988000000000001</v>
      </c>
      <c r="F49">
        <v>6.5600000000000006E-2</v>
      </c>
      <c r="G49">
        <v>0.307</v>
      </c>
      <c r="H49">
        <v>-0.25</v>
      </c>
    </row>
    <row r="50" spans="1:8" x14ac:dyDescent="0.2">
      <c r="A50" t="s">
        <v>68</v>
      </c>
      <c r="B50" t="s">
        <v>69</v>
      </c>
      <c r="C50">
        <v>75</v>
      </c>
      <c r="D50">
        <v>899.36099999999999</v>
      </c>
      <c r="E50">
        <v>5.2390999999999996</v>
      </c>
      <c r="F50">
        <v>1.7600000000000001E-2</v>
      </c>
      <c r="G50">
        <v>0.185</v>
      </c>
      <c r="H50">
        <v>1.4E-2</v>
      </c>
    </row>
    <row r="51" spans="1:8" x14ac:dyDescent="0.2">
      <c r="A51" t="s">
        <v>70</v>
      </c>
      <c r="B51" t="s">
        <v>71</v>
      </c>
      <c r="C51">
        <v>75</v>
      </c>
      <c r="D51">
        <v>817.322</v>
      </c>
      <c r="E51">
        <v>1.8479000000000001</v>
      </c>
      <c r="F51">
        <v>0.1053</v>
      </c>
      <c r="G51">
        <v>0.46</v>
      </c>
      <c r="H51">
        <v>-0.315</v>
      </c>
    </row>
    <row r="52" spans="1:8" x14ac:dyDescent="0.2">
      <c r="A52" t="s">
        <v>72</v>
      </c>
      <c r="B52" t="s">
        <v>73</v>
      </c>
      <c r="C52">
        <v>75</v>
      </c>
      <c r="D52">
        <v>907.96500000000003</v>
      </c>
      <c r="E52">
        <v>6.4531999999999998</v>
      </c>
      <c r="F52">
        <v>2.5899999999999999E-2</v>
      </c>
      <c r="G52">
        <v>0.14799999999999999</v>
      </c>
      <c r="H52">
        <v>0.11899999999999999</v>
      </c>
    </row>
    <row r="53" spans="1:8" x14ac:dyDescent="0.2">
      <c r="A53" t="s">
        <v>74</v>
      </c>
      <c r="B53" t="s">
        <v>75</v>
      </c>
      <c r="C53">
        <v>75</v>
      </c>
      <c r="D53">
        <v>772.13400000000001</v>
      </c>
      <c r="E53">
        <v>3.6579000000000002</v>
      </c>
      <c r="F53">
        <v>4.7399999999999998E-2</v>
      </c>
      <c r="G53">
        <v>0.252</v>
      </c>
      <c r="H53">
        <v>4.2000000000000003E-2</v>
      </c>
    </row>
    <row r="54" spans="1:8" x14ac:dyDescent="0.2">
      <c r="A54" t="s">
        <v>76</v>
      </c>
      <c r="B54" t="s">
        <v>77</v>
      </c>
      <c r="C54">
        <v>75</v>
      </c>
      <c r="D54">
        <v>768.65800000000002</v>
      </c>
      <c r="E54">
        <v>3.1953</v>
      </c>
      <c r="F54">
        <v>7.2400000000000006E-2</v>
      </c>
      <c r="G54">
        <v>0.28799999999999998</v>
      </c>
      <c r="H54">
        <v>-0.218</v>
      </c>
    </row>
    <row r="55" spans="1:8" x14ac:dyDescent="0.2">
      <c r="A55" t="s">
        <v>78</v>
      </c>
      <c r="B55" t="s">
        <v>77</v>
      </c>
      <c r="C55">
        <v>59</v>
      </c>
      <c r="D55">
        <v>416.50400000000002</v>
      </c>
      <c r="E55">
        <v>0.27589999999999998</v>
      </c>
      <c r="F55">
        <v>0.47939999999999999</v>
      </c>
      <c r="G55">
        <v>1.135</v>
      </c>
      <c r="H55">
        <v>-0.752</v>
      </c>
    </row>
    <row r="56" spans="1:8" x14ac:dyDescent="0.2">
      <c r="A56" t="s">
        <v>79</v>
      </c>
      <c r="B56" t="s">
        <v>77</v>
      </c>
      <c r="C56">
        <v>75</v>
      </c>
      <c r="D56">
        <v>639.91</v>
      </c>
      <c r="E56">
        <v>3.6377000000000002</v>
      </c>
      <c r="F56">
        <v>9.2100000000000001E-2</v>
      </c>
      <c r="G56">
        <v>0.25700000000000001</v>
      </c>
      <c r="H56">
        <v>-0.184</v>
      </c>
    </row>
    <row r="57" spans="1:8" x14ac:dyDescent="0.2">
      <c r="A57" t="s">
        <v>80</v>
      </c>
      <c r="B57" t="s">
        <v>77</v>
      </c>
      <c r="C57">
        <v>75</v>
      </c>
      <c r="D57">
        <v>707.45899999999995</v>
      </c>
      <c r="E57">
        <v>5.8692000000000002</v>
      </c>
      <c r="F57">
        <v>5.9400000000000001E-2</v>
      </c>
      <c r="G57">
        <v>0.159</v>
      </c>
      <c r="H57">
        <v>0.123</v>
      </c>
    </row>
    <row r="58" spans="1:8" x14ac:dyDescent="0.2">
      <c r="A58" t="s">
        <v>81</v>
      </c>
      <c r="B58" t="s">
        <v>77</v>
      </c>
      <c r="C58">
        <v>75</v>
      </c>
      <c r="D58">
        <v>559.85799999999995</v>
      </c>
      <c r="E58">
        <v>1.0652999999999999</v>
      </c>
      <c r="F58">
        <v>0.25130000000000002</v>
      </c>
      <c r="G58">
        <v>0.64300000000000002</v>
      </c>
      <c r="H58">
        <v>0.156</v>
      </c>
    </row>
    <row r="59" spans="1:8" x14ac:dyDescent="0.2">
      <c r="A59" t="s">
        <v>82</v>
      </c>
      <c r="B59" t="s">
        <v>77</v>
      </c>
      <c r="C59">
        <v>75</v>
      </c>
      <c r="D59">
        <v>723.51599999999996</v>
      </c>
      <c r="E59">
        <v>3.1787999999999998</v>
      </c>
      <c r="F59">
        <v>7.3999999999999996E-2</v>
      </c>
      <c r="G59">
        <v>0.28499999999999998</v>
      </c>
      <c r="H59">
        <v>-0.17199999999999999</v>
      </c>
    </row>
    <row r="60" spans="1:8" x14ac:dyDescent="0.2">
      <c r="A60" t="s">
        <v>83</v>
      </c>
      <c r="B60" t="s">
        <v>77</v>
      </c>
      <c r="C60">
        <v>58</v>
      </c>
      <c r="D60">
        <v>455.41699999999997</v>
      </c>
      <c r="E60">
        <v>3.2553999999999998</v>
      </c>
      <c r="F60">
        <v>0.1983</v>
      </c>
      <c r="G60">
        <v>0.25</v>
      </c>
      <c r="H60">
        <v>0.69699999999999995</v>
      </c>
    </row>
    <row r="61" spans="1:8" x14ac:dyDescent="0.2">
      <c r="A61" t="s">
        <v>84</v>
      </c>
      <c r="B61" t="s">
        <v>77</v>
      </c>
      <c r="C61">
        <v>75</v>
      </c>
      <c r="D61">
        <v>738.72699999999998</v>
      </c>
      <c r="E61">
        <v>3.63</v>
      </c>
      <c r="F61">
        <v>6.4699999999999994E-2</v>
      </c>
      <c r="G61">
        <v>0.26200000000000001</v>
      </c>
      <c r="H61">
        <v>-0.25900000000000001</v>
      </c>
    </row>
    <row r="62" spans="1:8" x14ac:dyDescent="0.2">
      <c r="A62" t="s">
        <v>85</v>
      </c>
      <c r="B62" t="s">
        <v>77</v>
      </c>
      <c r="C62">
        <v>52</v>
      </c>
      <c r="D62">
        <v>394.92500000000001</v>
      </c>
      <c r="E62">
        <v>1.7008000000000001</v>
      </c>
      <c r="F62">
        <v>0.28610000000000002</v>
      </c>
      <c r="G62">
        <v>0.39100000000000001</v>
      </c>
      <c r="H62">
        <v>0.753</v>
      </c>
    </row>
    <row r="63" spans="1:8" x14ac:dyDescent="0.2">
      <c r="A63" t="s">
        <v>86</v>
      </c>
      <c r="B63" t="s">
        <v>87</v>
      </c>
      <c r="C63">
        <v>75</v>
      </c>
      <c r="D63">
        <v>805.16099999999994</v>
      </c>
      <c r="E63">
        <v>3.5150999999999999</v>
      </c>
      <c r="F63">
        <v>4.87E-2</v>
      </c>
      <c r="G63">
        <v>0.26200000000000001</v>
      </c>
      <c r="H63">
        <v>8.8999999999999996E-2</v>
      </c>
    </row>
    <row r="64" spans="1:8" x14ac:dyDescent="0.2">
      <c r="A64" t="s">
        <v>88</v>
      </c>
      <c r="B64" t="s">
        <v>87</v>
      </c>
      <c r="C64">
        <v>75</v>
      </c>
      <c r="D64">
        <v>651.28200000000004</v>
      </c>
      <c r="E64">
        <v>1.4874000000000001</v>
      </c>
      <c r="F64">
        <v>0.15440000000000001</v>
      </c>
      <c r="G64">
        <v>0.54500000000000004</v>
      </c>
      <c r="H64">
        <v>-0.39900000000000002</v>
      </c>
    </row>
    <row r="65" spans="1:8" x14ac:dyDescent="0.2">
      <c r="A65" t="s">
        <v>89</v>
      </c>
      <c r="B65" t="s">
        <v>87</v>
      </c>
      <c r="C65">
        <v>34</v>
      </c>
      <c r="D65">
        <v>244.166</v>
      </c>
      <c r="E65">
        <v>0.77939999999999998</v>
      </c>
      <c r="F65">
        <v>0.1759</v>
      </c>
      <c r="G65">
        <v>0.751</v>
      </c>
      <c r="H65">
        <v>-0.40799999999999997</v>
      </c>
    </row>
    <row r="66" spans="1:8" x14ac:dyDescent="0.2">
      <c r="A66" t="s">
        <v>90</v>
      </c>
      <c r="B66" t="s">
        <v>87</v>
      </c>
      <c r="C66">
        <v>75</v>
      </c>
      <c r="D66">
        <v>718.31399999999996</v>
      </c>
      <c r="E66">
        <v>3.8250999999999999</v>
      </c>
      <c r="F66">
        <v>9.7199999999999995E-2</v>
      </c>
      <c r="G66">
        <v>0.23400000000000001</v>
      </c>
      <c r="H66">
        <v>0.38600000000000001</v>
      </c>
    </row>
    <row r="67" spans="1:8" x14ac:dyDescent="0.2">
      <c r="A67" t="s">
        <v>91</v>
      </c>
      <c r="B67" t="s">
        <v>87</v>
      </c>
      <c r="C67">
        <v>75</v>
      </c>
      <c r="D67">
        <v>610.50300000000004</v>
      </c>
      <c r="E67">
        <v>3.1038999999999999</v>
      </c>
      <c r="F67">
        <v>0.15190000000000001</v>
      </c>
      <c r="G67">
        <v>0.28699999999999998</v>
      </c>
      <c r="H67">
        <v>0.22600000000000001</v>
      </c>
    </row>
    <row r="68" spans="1:8" x14ac:dyDescent="0.2">
      <c r="A68" t="s">
        <v>92</v>
      </c>
      <c r="B68" t="s">
        <v>87</v>
      </c>
      <c r="C68">
        <v>75</v>
      </c>
      <c r="D68">
        <v>603.57500000000005</v>
      </c>
      <c r="E68">
        <v>0.29759999999999998</v>
      </c>
      <c r="F68">
        <v>0.40510000000000002</v>
      </c>
      <c r="G68">
        <v>0.73</v>
      </c>
      <c r="H68">
        <v>0.55500000000000005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9B0B0-31FB-A04D-AA6C-E18A033D84D5}">
  <dimension ref="A1:H68"/>
  <sheetViews>
    <sheetView workbookViewId="0">
      <pane ySplit="1" topLeftCell="A2" activePane="bottomLeft" state="frozen"/>
      <selection pane="bottomLeft" activeCell="G1" activeCellId="1" sqref="A1:B1048576 G1:H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75</v>
      </c>
      <c r="D2">
        <v>890.66099999999994</v>
      </c>
      <c r="E2">
        <v>6.9562999999999997</v>
      </c>
      <c r="F2">
        <v>2.5999999999999999E-2</v>
      </c>
      <c r="G2">
        <v>0.13</v>
      </c>
      <c r="H2">
        <v>0.22800000000000001</v>
      </c>
    </row>
    <row r="3" spans="1:8" x14ac:dyDescent="0.2">
      <c r="A3" t="s">
        <v>10</v>
      </c>
      <c r="B3" t="s">
        <v>11</v>
      </c>
      <c r="C3">
        <v>75</v>
      </c>
      <c r="D3">
        <v>818.34</v>
      </c>
      <c r="E3">
        <v>6.2134</v>
      </c>
      <c r="F3">
        <v>2.4400000000000002E-2</v>
      </c>
      <c r="G3">
        <v>0.151</v>
      </c>
      <c r="H3">
        <v>0.12</v>
      </c>
    </row>
    <row r="4" spans="1:8" x14ac:dyDescent="0.2">
      <c r="A4" t="s">
        <v>12</v>
      </c>
      <c r="B4" t="s">
        <v>11</v>
      </c>
      <c r="C4">
        <v>75</v>
      </c>
      <c r="D4">
        <v>540.80899999999997</v>
      </c>
      <c r="E4">
        <v>0.50239999999999996</v>
      </c>
      <c r="F4">
        <v>0.30199999999999999</v>
      </c>
      <c r="G4">
        <v>0.61899999999999999</v>
      </c>
      <c r="H4">
        <v>0.58299999999999996</v>
      </c>
    </row>
    <row r="5" spans="1:8" x14ac:dyDescent="0.2">
      <c r="A5" t="s">
        <v>13</v>
      </c>
      <c r="B5" t="s">
        <v>11</v>
      </c>
      <c r="C5">
        <v>75</v>
      </c>
      <c r="D5">
        <v>781.08699999999999</v>
      </c>
      <c r="E5">
        <v>9.4646000000000008</v>
      </c>
      <c r="F5">
        <v>4.7100000000000003E-2</v>
      </c>
      <c r="G5">
        <v>8.8999999999999996E-2</v>
      </c>
      <c r="H5">
        <v>0.57399999999999995</v>
      </c>
    </row>
    <row r="6" spans="1:8" x14ac:dyDescent="0.2">
      <c r="A6" t="s">
        <v>14</v>
      </c>
      <c r="B6" t="s">
        <v>11</v>
      </c>
      <c r="C6">
        <v>75</v>
      </c>
      <c r="D6">
        <v>658.24400000000003</v>
      </c>
      <c r="E6">
        <v>5.0590000000000002</v>
      </c>
      <c r="F6">
        <v>4.2599999999999999E-2</v>
      </c>
      <c r="G6">
        <v>0.185</v>
      </c>
      <c r="H6">
        <v>4.5999999999999999E-2</v>
      </c>
    </row>
    <row r="7" spans="1:8" x14ac:dyDescent="0.2">
      <c r="A7" t="s">
        <v>15</v>
      </c>
      <c r="B7" t="s">
        <v>11</v>
      </c>
      <c r="C7">
        <v>75</v>
      </c>
      <c r="D7">
        <v>889.52800000000002</v>
      </c>
      <c r="E7">
        <v>10.8445</v>
      </c>
      <c r="F7">
        <v>2.5399999999999999E-2</v>
      </c>
      <c r="G7">
        <v>8.4000000000000005E-2</v>
      </c>
      <c r="H7">
        <v>0.32200000000000001</v>
      </c>
    </row>
    <row r="8" spans="1:8" x14ac:dyDescent="0.2">
      <c r="A8" t="s">
        <v>16</v>
      </c>
      <c r="B8" t="s">
        <v>11</v>
      </c>
      <c r="C8">
        <v>75</v>
      </c>
      <c r="D8">
        <v>630.25599999999997</v>
      </c>
      <c r="E8">
        <v>1.2627999999999999</v>
      </c>
      <c r="F8">
        <v>0.1205</v>
      </c>
      <c r="G8">
        <v>0.56799999999999995</v>
      </c>
      <c r="H8">
        <v>-0.02</v>
      </c>
    </row>
    <row r="9" spans="1:8" x14ac:dyDescent="0.2">
      <c r="A9" t="s">
        <v>17</v>
      </c>
      <c r="B9" t="s">
        <v>11</v>
      </c>
      <c r="C9">
        <v>75</v>
      </c>
      <c r="D9">
        <v>910.06500000000005</v>
      </c>
      <c r="E9">
        <v>7.8090000000000002</v>
      </c>
      <c r="F9">
        <v>1.1900000000000001E-2</v>
      </c>
      <c r="G9">
        <v>0.124</v>
      </c>
      <c r="H9">
        <v>5.6000000000000001E-2</v>
      </c>
    </row>
    <row r="10" spans="1:8" x14ac:dyDescent="0.2">
      <c r="A10" t="s">
        <v>18</v>
      </c>
      <c r="B10" t="s">
        <v>11</v>
      </c>
      <c r="C10">
        <v>75</v>
      </c>
      <c r="D10">
        <v>672.08299999999997</v>
      </c>
      <c r="E10">
        <v>4.7901999999999996</v>
      </c>
      <c r="F10">
        <v>7.7799999999999994E-2</v>
      </c>
      <c r="G10">
        <v>0.17299999999999999</v>
      </c>
      <c r="H10">
        <v>0.437</v>
      </c>
    </row>
    <row r="11" spans="1:8" x14ac:dyDescent="0.2">
      <c r="A11" t="s">
        <v>19</v>
      </c>
      <c r="B11" t="s">
        <v>11</v>
      </c>
      <c r="C11">
        <v>75</v>
      </c>
      <c r="D11">
        <v>785.08699999999999</v>
      </c>
      <c r="E11">
        <v>8.0259999999999998</v>
      </c>
      <c r="F11">
        <v>4.4499999999999998E-2</v>
      </c>
      <c r="G11">
        <v>0.109</v>
      </c>
      <c r="H11">
        <v>0.41399999999999998</v>
      </c>
    </row>
    <row r="12" spans="1:8" x14ac:dyDescent="0.2">
      <c r="A12" t="s">
        <v>20</v>
      </c>
      <c r="B12" t="s">
        <v>21</v>
      </c>
      <c r="C12">
        <v>75</v>
      </c>
      <c r="D12">
        <v>869.42499999999995</v>
      </c>
      <c r="E12">
        <v>6.6245000000000003</v>
      </c>
      <c r="F12">
        <v>0.02</v>
      </c>
      <c r="G12">
        <v>0.151</v>
      </c>
      <c r="H12">
        <v>-0.14499999999999999</v>
      </c>
    </row>
    <row r="13" spans="1:8" x14ac:dyDescent="0.2">
      <c r="A13" t="s">
        <v>22</v>
      </c>
      <c r="B13" t="s">
        <v>21</v>
      </c>
      <c r="C13">
        <v>75</v>
      </c>
      <c r="D13">
        <v>620.51900000000001</v>
      </c>
      <c r="E13">
        <v>0.73019999999999996</v>
      </c>
      <c r="F13">
        <v>0.1144</v>
      </c>
      <c r="G13">
        <v>0.77100000000000002</v>
      </c>
      <c r="H13">
        <v>-0.252</v>
      </c>
    </row>
    <row r="14" spans="1:8" x14ac:dyDescent="0.2">
      <c r="A14" t="s">
        <v>23</v>
      </c>
      <c r="B14" t="s">
        <v>21</v>
      </c>
      <c r="C14">
        <v>75</v>
      </c>
      <c r="D14">
        <v>763.34</v>
      </c>
      <c r="E14">
        <v>12.8348</v>
      </c>
      <c r="F14">
        <v>2.1100000000000001E-2</v>
      </c>
      <c r="G14">
        <v>7.4999999999999997E-2</v>
      </c>
      <c r="H14">
        <v>3.9E-2</v>
      </c>
    </row>
    <row r="15" spans="1:8" x14ac:dyDescent="0.2">
      <c r="A15" t="s">
        <v>24</v>
      </c>
      <c r="B15" t="s">
        <v>25</v>
      </c>
      <c r="C15">
        <v>75</v>
      </c>
      <c r="D15">
        <v>757.43700000000001</v>
      </c>
      <c r="E15">
        <v>4.3936999999999999</v>
      </c>
      <c r="F15">
        <v>3.1600000000000003E-2</v>
      </c>
      <c r="G15">
        <v>0.217</v>
      </c>
      <c r="H15">
        <v>-6.4000000000000001E-2</v>
      </c>
    </row>
    <row r="16" spans="1:8" x14ac:dyDescent="0.2">
      <c r="A16" s="2" t="s">
        <v>93</v>
      </c>
      <c r="B16" s="2" t="s">
        <v>25</v>
      </c>
      <c r="C16" s="2">
        <v>45</v>
      </c>
      <c r="D16" s="2">
        <v>302.26400000000001</v>
      </c>
      <c r="E16" s="2">
        <v>0.18149999999999999</v>
      </c>
      <c r="F16" s="2">
        <v>0.1976</v>
      </c>
      <c r="G16" s="2">
        <v>1.046</v>
      </c>
      <c r="H16" s="2">
        <v>-0.13800000000000001</v>
      </c>
    </row>
    <row r="17" spans="1:8" x14ac:dyDescent="0.2">
      <c r="A17" t="s">
        <v>27</v>
      </c>
      <c r="B17" t="s">
        <v>25</v>
      </c>
      <c r="C17">
        <v>75</v>
      </c>
      <c r="D17">
        <v>784.58</v>
      </c>
      <c r="E17">
        <v>8.1806999999999999</v>
      </c>
      <c r="F17">
        <v>2.7E-2</v>
      </c>
      <c r="G17">
        <v>0.121</v>
      </c>
      <c r="H17">
        <v>-0.104</v>
      </c>
    </row>
    <row r="18" spans="1:8" x14ac:dyDescent="0.2">
      <c r="A18" t="s">
        <v>28</v>
      </c>
      <c r="B18" t="s">
        <v>25</v>
      </c>
      <c r="C18">
        <v>62</v>
      </c>
      <c r="D18">
        <v>517.68799999999999</v>
      </c>
      <c r="E18">
        <v>6.9789000000000003</v>
      </c>
      <c r="F18">
        <v>0.1047</v>
      </c>
      <c r="G18">
        <v>0.114</v>
      </c>
      <c r="H18">
        <v>0.78700000000000003</v>
      </c>
    </row>
    <row r="19" spans="1:8" x14ac:dyDescent="0.2">
      <c r="A19" t="s">
        <v>29</v>
      </c>
      <c r="B19" t="s">
        <v>25</v>
      </c>
      <c r="C19">
        <v>75</v>
      </c>
      <c r="D19">
        <v>628.65800000000002</v>
      </c>
      <c r="E19">
        <v>1.4448000000000001</v>
      </c>
      <c r="F19">
        <v>8.0799999999999997E-2</v>
      </c>
      <c r="G19">
        <v>0.51700000000000002</v>
      </c>
      <c r="H19">
        <v>-7.2999999999999995E-2</v>
      </c>
    </row>
    <row r="20" spans="1:8" x14ac:dyDescent="0.2">
      <c r="A20" t="s">
        <v>30</v>
      </c>
      <c r="B20" t="s">
        <v>25</v>
      </c>
      <c r="C20">
        <v>75</v>
      </c>
      <c r="D20">
        <v>844.80399999999997</v>
      </c>
      <c r="E20">
        <v>10.052099999999999</v>
      </c>
      <c r="F20">
        <v>3.3399999999999999E-2</v>
      </c>
      <c r="G20">
        <v>8.7999999999999995E-2</v>
      </c>
      <c r="H20">
        <v>0.42499999999999999</v>
      </c>
    </row>
    <row r="21" spans="1:8" x14ac:dyDescent="0.2">
      <c r="A21" t="s">
        <v>31</v>
      </c>
      <c r="B21" t="s">
        <v>32</v>
      </c>
      <c r="C21">
        <v>75</v>
      </c>
      <c r="D21">
        <v>813.90200000000004</v>
      </c>
      <c r="E21">
        <v>7.0444000000000004</v>
      </c>
      <c r="F21">
        <v>2.4899999999999999E-2</v>
      </c>
      <c r="G21">
        <v>0.13700000000000001</v>
      </c>
      <c r="H21">
        <v>5.5E-2</v>
      </c>
    </row>
    <row r="22" spans="1:8" x14ac:dyDescent="0.2">
      <c r="A22" s="2" t="s">
        <v>94</v>
      </c>
      <c r="B22" s="2" t="s">
        <v>32</v>
      </c>
      <c r="C22" s="2">
        <v>34</v>
      </c>
      <c r="D22" s="2">
        <v>208.322</v>
      </c>
      <c r="E22" s="2">
        <v>0.28560000000000002</v>
      </c>
      <c r="F22" s="2">
        <v>0.3695</v>
      </c>
      <c r="G22" s="2">
        <v>0.999</v>
      </c>
      <c r="H22" s="2">
        <v>-0.41899999999999998</v>
      </c>
    </row>
    <row r="23" spans="1:8" x14ac:dyDescent="0.2">
      <c r="A23" t="s">
        <v>34</v>
      </c>
      <c r="B23" t="s">
        <v>32</v>
      </c>
      <c r="C23">
        <v>75</v>
      </c>
      <c r="D23">
        <v>623.697</v>
      </c>
      <c r="E23">
        <v>4.7149000000000001</v>
      </c>
      <c r="F23">
        <v>0.1109</v>
      </c>
      <c r="G23">
        <v>0.17799999999999999</v>
      </c>
      <c r="H23">
        <v>0.61</v>
      </c>
    </row>
    <row r="24" spans="1:8" x14ac:dyDescent="0.2">
      <c r="A24" t="s">
        <v>35</v>
      </c>
      <c r="B24" t="s">
        <v>32</v>
      </c>
      <c r="C24">
        <v>75</v>
      </c>
      <c r="D24">
        <v>708.80200000000002</v>
      </c>
      <c r="E24">
        <v>5.7144000000000004</v>
      </c>
      <c r="F24">
        <v>3.49E-2</v>
      </c>
      <c r="G24">
        <v>0.159</v>
      </c>
      <c r="H24">
        <v>0.10100000000000001</v>
      </c>
    </row>
    <row r="25" spans="1:8" x14ac:dyDescent="0.2">
      <c r="A25" t="s">
        <v>36</v>
      </c>
      <c r="B25" t="s">
        <v>32</v>
      </c>
      <c r="C25">
        <v>75</v>
      </c>
      <c r="D25">
        <v>590.327</v>
      </c>
      <c r="E25">
        <v>0.62319999999999998</v>
      </c>
      <c r="F25">
        <v>0.28299999999999997</v>
      </c>
      <c r="G25">
        <v>0.89400000000000002</v>
      </c>
      <c r="H25">
        <v>-0.56200000000000006</v>
      </c>
    </row>
    <row r="26" spans="1:8" x14ac:dyDescent="0.2">
      <c r="A26" t="s">
        <v>37</v>
      </c>
      <c r="B26" t="s">
        <v>32</v>
      </c>
      <c r="C26">
        <v>75</v>
      </c>
      <c r="D26">
        <v>763.65300000000002</v>
      </c>
      <c r="E26">
        <v>4.9812000000000003</v>
      </c>
      <c r="F26">
        <v>6.4899999999999999E-2</v>
      </c>
      <c r="G26">
        <v>0.17299999999999999</v>
      </c>
      <c r="H26">
        <v>0.42499999999999999</v>
      </c>
    </row>
    <row r="27" spans="1:8" x14ac:dyDescent="0.2">
      <c r="A27" t="s">
        <v>38</v>
      </c>
      <c r="B27" t="s">
        <v>32</v>
      </c>
      <c r="C27">
        <v>75</v>
      </c>
      <c r="D27">
        <v>759.60299999999995</v>
      </c>
      <c r="E27">
        <v>3.0829</v>
      </c>
      <c r="F27">
        <v>4.53E-2</v>
      </c>
      <c r="G27">
        <v>0.30199999999999999</v>
      </c>
      <c r="H27">
        <v>-7.0000000000000007E-2</v>
      </c>
    </row>
    <row r="28" spans="1:8" x14ac:dyDescent="0.2">
      <c r="A28" t="s">
        <v>39</v>
      </c>
      <c r="B28" t="s">
        <v>40</v>
      </c>
      <c r="C28">
        <v>75</v>
      </c>
      <c r="D28">
        <v>773.03</v>
      </c>
      <c r="E28">
        <v>4.7408999999999999</v>
      </c>
      <c r="F28">
        <v>2.9399999999999999E-2</v>
      </c>
      <c r="G28">
        <v>0.19900000000000001</v>
      </c>
      <c r="H28">
        <v>7.4999999999999997E-2</v>
      </c>
    </row>
    <row r="29" spans="1:8" x14ac:dyDescent="0.2">
      <c r="A29" t="s">
        <v>41</v>
      </c>
      <c r="B29" t="s">
        <v>40</v>
      </c>
      <c r="C29">
        <v>75</v>
      </c>
      <c r="D29">
        <v>540.01700000000005</v>
      </c>
      <c r="E29">
        <v>0.28149999999999997</v>
      </c>
      <c r="F29">
        <v>0.32279999999999998</v>
      </c>
      <c r="G29">
        <v>1.091</v>
      </c>
      <c r="H29">
        <v>-0.52900000000000003</v>
      </c>
    </row>
    <row r="30" spans="1:8" x14ac:dyDescent="0.2">
      <c r="A30" t="s">
        <v>42</v>
      </c>
      <c r="B30" t="s">
        <v>40</v>
      </c>
      <c r="C30">
        <v>75</v>
      </c>
      <c r="D30">
        <v>595.04600000000005</v>
      </c>
      <c r="E30">
        <v>3.3121999999999998</v>
      </c>
      <c r="F30">
        <v>0.1782</v>
      </c>
      <c r="G30">
        <v>0.22800000000000001</v>
      </c>
      <c r="H30">
        <v>0.68</v>
      </c>
    </row>
    <row r="31" spans="1:8" x14ac:dyDescent="0.2">
      <c r="A31" t="s">
        <v>43</v>
      </c>
      <c r="B31" t="s">
        <v>40</v>
      </c>
      <c r="C31">
        <v>75</v>
      </c>
      <c r="D31">
        <v>730.69799999999998</v>
      </c>
      <c r="E31">
        <v>4.2519999999999998</v>
      </c>
      <c r="F31">
        <v>3.2899999999999999E-2</v>
      </c>
      <c r="G31">
        <v>0.22600000000000001</v>
      </c>
      <c r="H31">
        <v>-0.106</v>
      </c>
    </row>
    <row r="32" spans="1:8" x14ac:dyDescent="0.2">
      <c r="A32" t="s">
        <v>44</v>
      </c>
      <c r="B32" t="s">
        <v>40</v>
      </c>
      <c r="C32">
        <v>75</v>
      </c>
      <c r="D32">
        <v>631.10599999999999</v>
      </c>
      <c r="E32">
        <v>1.4533</v>
      </c>
      <c r="F32">
        <v>0.13270000000000001</v>
      </c>
      <c r="G32">
        <v>0.55900000000000005</v>
      </c>
      <c r="H32">
        <v>-0.36099999999999999</v>
      </c>
    </row>
    <row r="33" spans="1:8" x14ac:dyDescent="0.2">
      <c r="A33" t="s">
        <v>45</v>
      </c>
      <c r="B33" t="s">
        <v>40</v>
      </c>
      <c r="C33">
        <v>75</v>
      </c>
      <c r="D33">
        <v>763.50900000000001</v>
      </c>
      <c r="E33">
        <v>2.6006999999999998</v>
      </c>
      <c r="F33">
        <v>3.7499999999999999E-2</v>
      </c>
      <c r="G33">
        <v>0.34499999999999997</v>
      </c>
      <c r="H33">
        <v>-7.3999999999999996E-2</v>
      </c>
    </row>
    <row r="34" spans="1:8" x14ac:dyDescent="0.2">
      <c r="A34" t="s">
        <v>46</v>
      </c>
      <c r="B34" t="s">
        <v>47</v>
      </c>
      <c r="C34">
        <v>75</v>
      </c>
      <c r="D34">
        <v>799.14800000000002</v>
      </c>
      <c r="E34">
        <v>6.4843999999999999</v>
      </c>
      <c r="F34">
        <v>4.6199999999999998E-2</v>
      </c>
      <c r="G34">
        <v>0.13800000000000001</v>
      </c>
      <c r="H34">
        <v>0.35699999999999998</v>
      </c>
    </row>
    <row r="35" spans="1:8" x14ac:dyDescent="0.2">
      <c r="A35" t="s">
        <v>48</v>
      </c>
      <c r="B35" t="s">
        <v>47</v>
      </c>
      <c r="C35">
        <v>75</v>
      </c>
      <c r="D35">
        <v>577.31899999999996</v>
      </c>
      <c r="E35">
        <v>0.90380000000000005</v>
      </c>
      <c r="F35">
        <v>0.192</v>
      </c>
      <c r="G35">
        <v>0.71299999999999997</v>
      </c>
      <c r="H35">
        <v>-0.33200000000000002</v>
      </c>
    </row>
    <row r="36" spans="1:8" x14ac:dyDescent="0.2">
      <c r="A36" t="s">
        <v>49</v>
      </c>
      <c r="B36" t="s">
        <v>47</v>
      </c>
      <c r="C36">
        <v>75</v>
      </c>
      <c r="D36">
        <v>583.58100000000002</v>
      </c>
      <c r="E36">
        <v>2.9992000000000001</v>
      </c>
      <c r="F36">
        <v>0.19750000000000001</v>
      </c>
      <c r="G36">
        <v>0.249</v>
      </c>
      <c r="H36">
        <v>0.61399999999999999</v>
      </c>
    </row>
    <row r="37" spans="1:8" x14ac:dyDescent="0.2">
      <c r="A37" t="s">
        <v>50</v>
      </c>
      <c r="B37" t="s">
        <v>47</v>
      </c>
      <c r="C37">
        <v>75</v>
      </c>
      <c r="D37">
        <v>732.08100000000002</v>
      </c>
      <c r="E37">
        <v>6.9503000000000004</v>
      </c>
      <c r="F37">
        <v>4.9599999999999998E-2</v>
      </c>
      <c r="G37">
        <v>0.13200000000000001</v>
      </c>
      <c r="H37">
        <v>0.27</v>
      </c>
    </row>
    <row r="38" spans="1:8" x14ac:dyDescent="0.2">
      <c r="A38" t="s">
        <v>51</v>
      </c>
      <c r="B38" t="s">
        <v>47</v>
      </c>
      <c r="C38">
        <v>75</v>
      </c>
      <c r="D38">
        <v>594.95799999999997</v>
      </c>
      <c r="E38">
        <v>1.5443</v>
      </c>
      <c r="F38">
        <v>0.13100000000000001</v>
      </c>
      <c r="G38">
        <v>0.50900000000000001</v>
      </c>
      <c r="H38">
        <v>-0.192</v>
      </c>
    </row>
    <row r="39" spans="1:8" x14ac:dyDescent="0.2">
      <c r="A39" t="s">
        <v>52</v>
      </c>
      <c r="B39" t="s">
        <v>47</v>
      </c>
      <c r="C39">
        <v>75</v>
      </c>
      <c r="D39">
        <v>747.41499999999996</v>
      </c>
      <c r="E39">
        <v>3.8589000000000002</v>
      </c>
      <c r="F39">
        <v>4.1700000000000001E-2</v>
      </c>
      <c r="G39">
        <v>0.24</v>
      </c>
      <c r="H39">
        <v>0.05</v>
      </c>
    </row>
    <row r="40" spans="1:8" x14ac:dyDescent="0.2">
      <c r="A40" t="s">
        <v>53</v>
      </c>
      <c r="B40" t="s">
        <v>54</v>
      </c>
      <c r="C40">
        <v>75</v>
      </c>
      <c r="D40">
        <v>838.35</v>
      </c>
      <c r="E40">
        <v>6.4534000000000002</v>
      </c>
      <c r="F40">
        <v>3.49E-2</v>
      </c>
      <c r="G40">
        <v>0.14299999999999999</v>
      </c>
      <c r="H40">
        <v>0.254</v>
      </c>
    </row>
    <row r="41" spans="1:8" x14ac:dyDescent="0.2">
      <c r="A41" t="s">
        <v>55</v>
      </c>
      <c r="B41" t="s">
        <v>54</v>
      </c>
      <c r="C41">
        <v>75</v>
      </c>
      <c r="D41">
        <v>583.54</v>
      </c>
      <c r="E41">
        <v>0.55179999999999996</v>
      </c>
      <c r="F41">
        <v>0.1163</v>
      </c>
      <c r="G41">
        <v>0.78400000000000003</v>
      </c>
      <c r="H41">
        <v>-7.0999999999999994E-2</v>
      </c>
    </row>
    <row r="42" spans="1:8" x14ac:dyDescent="0.2">
      <c r="A42" t="s">
        <v>56</v>
      </c>
      <c r="B42" t="s">
        <v>54</v>
      </c>
      <c r="C42">
        <v>75</v>
      </c>
      <c r="D42">
        <v>633.57299999999998</v>
      </c>
      <c r="E42">
        <v>2.6758999999999999</v>
      </c>
      <c r="F42">
        <v>6.1100000000000002E-2</v>
      </c>
      <c r="G42">
        <v>0.33200000000000002</v>
      </c>
      <c r="H42">
        <v>1.4E-2</v>
      </c>
    </row>
    <row r="43" spans="1:8" x14ac:dyDescent="0.2">
      <c r="A43" t="s">
        <v>57</v>
      </c>
      <c r="B43" t="s">
        <v>54</v>
      </c>
      <c r="C43">
        <v>75</v>
      </c>
      <c r="D43">
        <v>763.44100000000003</v>
      </c>
      <c r="E43">
        <v>6.0076999999999998</v>
      </c>
      <c r="F43">
        <v>3.49E-2</v>
      </c>
      <c r="G43">
        <v>0.158</v>
      </c>
      <c r="H43">
        <v>0.13500000000000001</v>
      </c>
    </row>
    <row r="44" spans="1:8" x14ac:dyDescent="0.2">
      <c r="A44" t="s">
        <v>58</v>
      </c>
      <c r="B44" t="s">
        <v>54</v>
      </c>
      <c r="C44">
        <v>75</v>
      </c>
      <c r="D44">
        <v>648.40700000000004</v>
      </c>
      <c r="E44">
        <v>2.0213000000000001</v>
      </c>
      <c r="F44">
        <v>7.4499999999999997E-2</v>
      </c>
      <c r="G44">
        <v>0.43099999999999999</v>
      </c>
      <c r="H44">
        <v>-0.19600000000000001</v>
      </c>
    </row>
    <row r="45" spans="1:8" x14ac:dyDescent="0.2">
      <c r="A45" t="s">
        <v>59</v>
      </c>
      <c r="B45" t="s">
        <v>54</v>
      </c>
      <c r="C45">
        <v>75</v>
      </c>
      <c r="D45">
        <v>748.85900000000004</v>
      </c>
      <c r="E45">
        <v>3.4843999999999999</v>
      </c>
      <c r="F45">
        <v>3.5700000000000003E-2</v>
      </c>
      <c r="G45">
        <v>0.25800000000000001</v>
      </c>
      <c r="H45">
        <v>6.9000000000000006E-2</v>
      </c>
    </row>
    <row r="46" spans="1:8" x14ac:dyDescent="0.2">
      <c r="A46" t="s">
        <v>60</v>
      </c>
      <c r="B46" t="s">
        <v>61</v>
      </c>
      <c r="C46">
        <v>75</v>
      </c>
      <c r="D46">
        <v>815.80799999999999</v>
      </c>
      <c r="E46">
        <v>4.1204000000000001</v>
      </c>
      <c r="F46">
        <v>4.2000000000000003E-2</v>
      </c>
      <c r="G46">
        <v>0.24099999999999999</v>
      </c>
      <c r="H46">
        <v>-0.23599999999999999</v>
      </c>
    </row>
    <row r="47" spans="1:8" x14ac:dyDescent="0.2">
      <c r="A47" t="s">
        <v>62</v>
      </c>
      <c r="B47" t="s">
        <v>63</v>
      </c>
      <c r="C47">
        <v>75</v>
      </c>
      <c r="D47">
        <v>803.19200000000001</v>
      </c>
      <c r="E47">
        <v>4.0259</v>
      </c>
      <c r="F47">
        <v>4.02E-2</v>
      </c>
      <c r="G47">
        <v>0.251</v>
      </c>
      <c r="H47">
        <v>-0.29099999999999998</v>
      </c>
    </row>
    <row r="48" spans="1:8" x14ac:dyDescent="0.2">
      <c r="A48" t="s">
        <v>64</v>
      </c>
      <c r="B48" t="s">
        <v>65</v>
      </c>
      <c r="C48">
        <v>75</v>
      </c>
      <c r="D48">
        <v>884.34699999999998</v>
      </c>
      <c r="E48">
        <v>6.9965999999999999</v>
      </c>
      <c r="F48">
        <v>1.7899999999999999E-2</v>
      </c>
      <c r="G48">
        <v>0.14099999999999999</v>
      </c>
      <c r="H48">
        <v>-2.1999999999999999E-2</v>
      </c>
    </row>
    <row r="49" spans="1:8" x14ac:dyDescent="0.2">
      <c r="A49" t="s">
        <v>66</v>
      </c>
      <c r="B49" t="s">
        <v>67</v>
      </c>
      <c r="C49">
        <v>75</v>
      </c>
      <c r="D49">
        <v>832.02200000000005</v>
      </c>
      <c r="E49">
        <v>2.8557999999999999</v>
      </c>
      <c r="F49">
        <v>9.5200000000000007E-2</v>
      </c>
      <c r="G49">
        <v>0.35</v>
      </c>
      <c r="H49">
        <v>-0.48899999999999999</v>
      </c>
    </row>
    <row r="50" spans="1:8" x14ac:dyDescent="0.2">
      <c r="A50" t="s">
        <v>68</v>
      </c>
      <c r="B50" t="s">
        <v>69</v>
      </c>
      <c r="C50">
        <v>75</v>
      </c>
      <c r="D50">
        <v>890.96400000000006</v>
      </c>
      <c r="E50">
        <v>5.4516</v>
      </c>
      <c r="F50">
        <v>2.8199999999999999E-2</v>
      </c>
      <c r="G50">
        <v>0.16900000000000001</v>
      </c>
      <c r="H50">
        <v>0.19600000000000001</v>
      </c>
    </row>
    <row r="51" spans="1:8" x14ac:dyDescent="0.2">
      <c r="A51" t="s">
        <v>70</v>
      </c>
      <c r="B51" t="s">
        <v>71</v>
      </c>
      <c r="C51">
        <v>75</v>
      </c>
      <c r="D51">
        <v>796.70100000000002</v>
      </c>
      <c r="E51">
        <v>1.9882</v>
      </c>
      <c r="F51">
        <v>8.6900000000000005E-2</v>
      </c>
      <c r="G51">
        <v>0.46400000000000002</v>
      </c>
      <c r="H51">
        <v>-0.35699999999999998</v>
      </c>
    </row>
    <row r="52" spans="1:8" x14ac:dyDescent="0.2">
      <c r="A52" t="s">
        <v>72</v>
      </c>
      <c r="B52" t="s">
        <v>73</v>
      </c>
      <c r="C52">
        <v>75</v>
      </c>
      <c r="D52">
        <v>899.10299999999995</v>
      </c>
      <c r="E52">
        <v>6.64</v>
      </c>
      <c r="F52">
        <v>2.6599999999999999E-2</v>
      </c>
      <c r="G52">
        <v>0.14000000000000001</v>
      </c>
      <c r="H52">
        <v>0.20699999999999999</v>
      </c>
    </row>
    <row r="53" spans="1:8" x14ac:dyDescent="0.2">
      <c r="A53" t="s">
        <v>74</v>
      </c>
      <c r="B53" t="s">
        <v>75</v>
      </c>
      <c r="C53">
        <v>75</v>
      </c>
      <c r="D53">
        <v>768.49699999999996</v>
      </c>
      <c r="E53">
        <v>3.5268000000000002</v>
      </c>
      <c r="F53">
        <v>3.4500000000000003E-2</v>
      </c>
      <c r="G53">
        <v>0.26800000000000002</v>
      </c>
      <c r="H53">
        <v>-6.6000000000000003E-2</v>
      </c>
    </row>
    <row r="54" spans="1:8" x14ac:dyDescent="0.2">
      <c r="A54" t="s">
        <v>76</v>
      </c>
      <c r="B54" t="s">
        <v>77</v>
      </c>
      <c r="C54">
        <v>75</v>
      </c>
      <c r="D54">
        <v>765.52700000000004</v>
      </c>
      <c r="E54">
        <v>3.3302999999999998</v>
      </c>
      <c r="F54">
        <v>2.8299999999999999E-2</v>
      </c>
      <c r="G54">
        <v>0.27300000000000002</v>
      </c>
      <c r="H54">
        <v>4.2999999999999997E-2</v>
      </c>
    </row>
    <row r="55" spans="1:8" x14ac:dyDescent="0.2">
      <c r="A55" t="s">
        <v>78</v>
      </c>
      <c r="B55" t="s">
        <v>77</v>
      </c>
      <c r="C55">
        <v>64</v>
      </c>
      <c r="D55">
        <v>457.166</v>
      </c>
      <c r="E55">
        <v>0.53539999999999999</v>
      </c>
      <c r="F55">
        <v>0.30549999999999999</v>
      </c>
      <c r="G55">
        <v>0.93200000000000005</v>
      </c>
      <c r="H55">
        <v>-0.58099999999999996</v>
      </c>
    </row>
    <row r="56" spans="1:8" x14ac:dyDescent="0.2">
      <c r="A56" t="s">
        <v>79</v>
      </c>
      <c r="B56" t="s">
        <v>77</v>
      </c>
      <c r="C56">
        <v>75</v>
      </c>
      <c r="D56">
        <v>630.33299999999997</v>
      </c>
      <c r="E56">
        <v>3.9948000000000001</v>
      </c>
      <c r="F56">
        <v>5.8599999999999999E-2</v>
      </c>
      <c r="G56">
        <v>0.23799999999999999</v>
      </c>
      <c r="H56">
        <v>-0.20699999999999999</v>
      </c>
    </row>
    <row r="57" spans="1:8" x14ac:dyDescent="0.2">
      <c r="A57" t="s">
        <v>80</v>
      </c>
      <c r="B57" t="s">
        <v>77</v>
      </c>
      <c r="C57">
        <v>75</v>
      </c>
      <c r="D57">
        <v>683.88</v>
      </c>
      <c r="E57">
        <v>5.2606999999999999</v>
      </c>
      <c r="F57">
        <v>3.4099999999999998E-2</v>
      </c>
      <c r="G57">
        <v>0.188</v>
      </c>
      <c r="H57">
        <v>-2.1999999999999999E-2</v>
      </c>
    </row>
    <row r="58" spans="1:8" x14ac:dyDescent="0.2">
      <c r="A58" t="s">
        <v>81</v>
      </c>
      <c r="B58" t="s">
        <v>77</v>
      </c>
      <c r="C58">
        <v>60</v>
      </c>
      <c r="D58">
        <v>456.36900000000003</v>
      </c>
      <c r="E58">
        <v>1.0984</v>
      </c>
      <c r="F58">
        <v>0.2021</v>
      </c>
      <c r="G58">
        <v>0.50600000000000001</v>
      </c>
      <c r="H58">
        <v>0.41699999999999998</v>
      </c>
    </row>
    <row r="59" spans="1:8" x14ac:dyDescent="0.2">
      <c r="A59" t="s">
        <v>82</v>
      </c>
      <c r="B59" t="s">
        <v>77</v>
      </c>
      <c r="C59">
        <v>75</v>
      </c>
      <c r="D59">
        <v>732.83699999999999</v>
      </c>
      <c r="E59">
        <v>3.0053000000000001</v>
      </c>
      <c r="F59">
        <v>8.9899999999999994E-2</v>
      </c>
      <c r="G59">
        <v>0.32700000000000001</v>
      </c>
      <c r="H59">
        <v>-0.45</v>
      </c>
    </row>
    <row r="60" spans="1:8" x14ac:dyDescent="0.2">
      <c r="A60" t="s">
        <v>83</v>
      </c>
      <c r="B60" t="s">
        <v>77</v>
      </c>
      <c r="C60">
        <v>56</v>
      </c>
      <c r="D60">
        <v>420.96499999999997</v>
      </c>
      <c r="E60">
        <v>2.8740000000000001</v>
      </c>
      <c r="F60">
        <v>0.27339999999999998</v>
      </c>
      <c r="G60">
        <v>0.23300000000000001</v>
      </c>
      <c r="H60">
        <v>1.228</v>
      </c>
    </row>
    <row r="61" spans="1:8" x14ac:dyDescent="0.2">
      <c r="A61" t="s">
        <v>84</v>
      </c>
      <c r="B61" t="s">
        <v>77</v>
      </c>
      <c r="C61">
        <v>75</v>
      </c>
      <c r="D61">
        <v>740.81799999999998</v>
      </c>
      <c r="E61">
        <v>3.9725999999999999</v>
      </c>
      <c r="F61">
        <v>3.8100000000000002E-2</v>
      </c>
      <c r="G61">
        <v>0.24199999999999999</v>
      </c>
      <c r="H61">
        <v>-0.151</v>
      </c>
    </row>
    <row r="62" spans="1:8" x14ac:dyDescent="0.2">
      <c r="A62" t="s">
        <v>85</v>
      </c>
      <c r="B62" t="s">
        <v>77</v>
      </c>
      <c r="C62">
        <v>57</v>
      </c>
      <c r="D62">
        <v>417.625</v>
      </c>
      <c r="E62">
        <v>1.5277000000000001</v>
      </c>
      <c r="F62">
        <v>0.26719999999999999</v>
      </c>
      <c r="G62">
        <v>0.36699999999999999</v>
      </c>
      <c r="H62">
        <v>0.84299999999999997</v>
      </c>
    </row>
    <row r="63" spans="1:8" x14ac:dyDescent="0.2">
      <c r="A63" t="s">
        <v>86</v>
      </c>
      <c r="B63" t="s">
        <v>87</v>
      </c>
      <c r="C63">
        <v>75</v>
      </c>
      <c r="D63">
        <v>790.33399999999995</v>
      </c>
      <c r="E63">
        <v>3.7972000000000001</v>
      </c>
      <c r="F63">
        <v>6.2E-2</v>
      </c>
      <c r="G63">
        <v>0.23</v>
      </c>
      <c r="H63">
        <v>0.25600000000000001</v>
      </c>
    </row>
    <row r="64" spans="1:8" x14ac:dyDescent="0.2">
      <c r="A64" t="s">
        <v>88</v>
      </c>
      <c r="B64" t="s">
        <v>87</v>
      </c>
      <c r="C64">
        <v>75</v>
      </c>
      <c r="D64">
        <v>652.24199999999996</v>
      </c>
      <c r="E64">
        <v>1.6506000000000001</v>
      </c>
      <c r="F64">
        <v>0.17349999999999999</v>
      </c>
      <c r="G64">
        <v>0.56200000000000006</v>
      </c>
      <c r="H64">
        <v>-0.61599999999999999</v>
      </c>
    </row>
    <row r="65" spans="1:8" x14ac:dyDescent="0.2">
      <c r="A65" t="s">
        <v>89</v>
      </c>
      <c r="B65" t="s">
        <v>87</v>
      </c>
      <c r="C65">
        <v>48</v>
      </c>
      <c r="D65">
        <v>327.96</v>
      </c>
      <c r="E65">
        <v>1.0825</v>
      </c>
      <c r="F65">
        <v>0.17230000000000001</v>
      </c>
      <c r="G65">
        <v>0.66500000000000004</v>
      </c>
      <c r="H65">
        <v>-0.19</v>
      </c>
    </row>
    <row r="66" spans="1:8" x14ac:dyDescent="0.2">
      <c r="A66" t="s">
        <v>90</v>
      </c>
      <c r="B66" t="s">
        <v>87</v>
      </c>
      <c r="C66">
        <v>75</v>
      </c>
      <c r="D66">
        <v>700.88099999999997</v>
      </c>
      <c r="E66">
        <v>3.823</v>
      </c>
      <c r="F66">
        <v>0.1648</v>
      </c>
      <c r="G66">
        <v>0.19</v>
      </c>
      <c r="H66">
        <v>0.89800000000000002</v>
      </c>
    </row>
    <row r="67" spans="1:8" x14ac:dyDescent="0.2">
      <c r="A67" t="s">
        <v>91</v>
      </c>
      <c r="B67" t="s">
        <v>87</v>
      </c>
      <c r="C67">
        <v>65</v>
      </c>
      <c r="D67">
        <v>509.637</v>
      </c>
      <c r="E67">
        <v>3.1800999999999999</v>
      </c>
      <c r="F67">
        <v>0.1961</v>
      </c>
      <c r="G67">
        <v>0.23400000000000001</v>
      </c>
      <c r="H67">
        <v>0.82399999999999995</v>
      </c>
    </row>
    <row r="68" spans="1:8" x14ac:dyDescent="0.2">
      <c r="A68" t="s">
        <v>92</v>
      </c>
      <c r="B68" t="s">
        <v>87</v>
      </c>
      <c r="C68">
        <v>75</v>
      </c>
      <c r="D68">
        <v>578.02499999999998</v>
      </c>
      <c r="E68">
        <v>0.28270000000000001</v>
      </c>
      <c r="F68">
        <v>0.36330000000000001</v>
      </c>
      <c r="G68">
        <v>0.67100000000000004</v>
      </c>
      <c r="H68">
        <v>0.64700000000000002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B082-CEB4-2D4B-B398-929E1BC1BC09}">
  <dimension ref="A1:H69"/>
  <sheetViews>
    <sheetView workbookViewId="0">
      <selection activeCell="B16" sqref="B16"/>
    </sheetView>
  </sheetViews>
  <sheetFormatPr baseColWidth="10" defaultRowHeight="16" x14ac:dyDescent="0.2"/>
  <sheetData>
    <row r="1" spans="1:8" x14ac:dyDescent="0.2">
      <c r="A1" s="12" t="s">
        <v>95</v>
      </c>
      <c r="B1" s="12"/>
      <c r="C1" s="12"/>
      <c r="D1" s="12"/>
      <c r="E1" s="12" t="s">
        <v>96</v>
      </c>
      <c r="F1" s="12"/>
      <c r="G1" s="12"/>
      <c r="H1" s="12"/>
    </row>
    <row r="2" spans="1:8" x14ac:dyDescent="0.2">
      <c r="A2" t="s">
        <v>0</v>
      </c>
      <c r="B2" t="s">
        <v>1</v>
      </c>
      <c r="C2" t="s">
        <v>6</v>
      </c>
      <c r="D2" t="s">
        <v>7</v>
      </c>
      <c r="E2" t="s">
        <v>0</v>
      </c>
      <c r="F2" t="s">
        <v>1</v>
      </c>
      <c r="G2" t="s">
        <v>6</v>
      </c>
      <c r="H2" t="s">
        <v>7</v>
      </c>
    </row>
    <row r="3" spans="1:8" x14ac:dyDescent="0.2">
      <c r="A3" s="3" t="s">
        <v>8</v>
      </c>
      <c r="B3" s="3" t="s">
        <v>9</v>
      </c>
      <c r="C3" s="3">
        <v>0.16400000000000001</v>
      </c>
      <c r="D3" s="3">
        <v>-0.124</v>
      </c>
      <c r="E3" s="3" t="s">
        <v>8</v>
      </c>
      <c r="F3" s="3" t="s">
        <v>9</v>
      </c>
      <c r="G3" s="3">
        <v>0.13</v>
      </c>
      <c r="H3" s="3">
        <v>0.22800000000000001</v>
      </c>
    </row>
    <row r="4" spans="1:8" x14ac:dyDescent="0.2">
      <c r="A4" t="s">
        <v>10</v>
      </c>
      <c r="B4" t="s">
        <v>11</v>
      </c>
      <c r="C4">
        <v>0.153</v>
      </c>
      <c r="D4">
        <v>0.125</v>
      </c>
      <c r="E4" t="s">
        <v>10</v>
      </c>
      <c r="F4" t="s">
        <v>11</v>
      </c>
      <c r="G4">
        <v>0.151</v>
      </c>
      <c r="H4">
        <v>0.12</v>
      </c>
    </row>
    <row r="5" spans="1:8" x14ac:dyDescent="0.2">
      <c r="A5" t="s">
        <v>12</v>
      </c>
      <c r="B5" t="s">
        <v>11</v>
      </c>
      <c r="C5">
        <v>0.78900000000000003</v>
      </c>
      <c r="D5">
        <v>0.158</v>
      </c>
      <c r="E5" t="s">
        <v>12</v>
      </c>
      <c r="F5" t="s">
        <v>11</v>
      </c>
      <c r="G5">
        <v>0.61899999999999999</v>
      </c>
      <c r="H5">
        <v>0.58299999999999996</v>
      </c>
    </row>
    <row r="6" spans="1:8" x14ac:dyDescent="0.2">
      <c r="A6" t="s">
        <v>13</v>
      </c>
      <c r="B6" t="s">
        <v>11</v>
      </c>
      <c r="C6">
        <v>0.109</v>
      </c>
      <c r="D6">
        <v>0.17299999999999999</v>
      </c>
      <c r="E6" t="s">
        <v>13</v>
      </c>
      <c r="F6" t="s">
        <v>11</v>
      </c>
      <c r="G6">
        <v>8.8999999999999996E-2</v>
      </c>
      <c r="H6">
        <v>0.57399999999999995</v>
      </c>
    </row>
    <row r="7" spans="1:8" x14ac:dyDescent="0.2">
      <c r="A7" t="s">
        <v>14</v>
      </c>
      <c r="B7" t="s">
        <v>11</v>
      </c>
      <c r="C7">
        <v>0.189</v>
      </c>
      <c r="D7">
        <v>6.0000000000000001E-3</v>
      </c>
      <c r="E7" t="s">
        <v>14</v>
      </c>
      <c r="F7" t="s">
        <v>11</v>
      </c>
      <c r="G7">
        <v>0.185</v>
      </c>
      <c r="H7">
        <v>4.5999999999999999E-2</v>
      </c>
    </row>
    <row r="8" spans="1:8" x14ac:dyDescent="0.2">
      <c r="A8" t="s">
        <v>15</v>
      </c>
      <c r="B8" t="s">
        <v>11</v>
      </c>
      <c r="C8">
        <v>9.4E-2</v>
      </c>
      <c r="D8">
        <v>4.9000000000000002E-2</v>
      </c>
      <c r="E8" t="s">
        <v>15</v>
      </c>
      <c r="F8" t="s">
        <v>11</v>
      </c>
      <c r="G8">
        <v>8.4000000000000005E-2</v>
      </c>
      <c r="H8">
        <v>0.32200000000000001</v>
      </c>
    </row>
    <row r="9" spans="1:8" x14ac:dyDescent="0.2">
      <c r="A9" s="3" t="s">
        <v>16</v>
      </c>
      <c r="B9" s="3" t="s">
        <v>11</v>
      </c>
      <c r="C9" s="3">
        <v>0.55000000000000004</v>
      </c>
      <c r="D9" s="3">
        <v>3.4000000000000002E-2</v>
      </c>
      <c r="E9" s="3" t="s">
        <v>16</v>
      </c>
      <c r="F9" s="3" t="s">
        <v>11</v>
      </c>
      <c r="G9" s="3">
        <v>0.56799999999999995</v>
      </c>
      <c r="H9" s="3">
        <v>-0.02</v>
      </c>
    </row>
    <row r="10" spans="1:8" x14ac:dyDescent="0.2">
      <c r="A10" t="s">
        <v>17</v>
      </c>
      <c r="B10" t="s">
        <v>11</v>
      </c>
      <c r="C10">
        <v>0.127</v>
      </c>
      <c r="D10">
        <v>3.7999999999999999E-2</v>
      </c>
      <c r="E10" t="s">
        <v>17</v>
      </c>
      <c r="F10" t="s">
        <v>11</v>
      </c>
      <c r="G10">
        <v>0.124</v>
      </c>
      <c r="H10">
        <v>5.6000000000000001E-2</v>
      </c>
    </row>
    <row r="11" spans="1:8" x14ac:dyDescent="0.2">
      <c r="A11" s="4" t="s">
        <v>18</v>
      </c>
      <c r="B11" s="4" t="s">
        <v>11</v>
      </c>
      <c r="C11" s="4">
        <v>0.218</v>
      </c>
      <c r="D11" s="4">
        <v>4.9000000000000002E-2</v>
      </c>
      <c r="E11" s="4" t="s">
        <v>18</v>
      </c>
      <c r="F11" s="4" t="s">
        <v>11</v>
      </c>
      <c r="G11" s="4">
        <v>0.17299999999999999</v>
      </c>
      <c r="H11" s="4">
        <v>0.437</v>
      </c>
    </row>
    <row r="12" spans="1:8" x14ac:dyDescent="0.2">
      <c r="A12" t="s">
        <v>19</v>
      </c>
      <c r="B12" t="s">
        <v>11</v>
      </c>
      <c r="C12">
        <v>0.112</v>
      </c>
      <c r="D12">
        <v>0.42199999999999999</v>
      </c>
      <c r="E12" t="s">
        <v>19</v>
      </c>
      <c r="F12" t="s">
        <v>11</v>
      </c>
      <c r="G12">
        <v>0.109</v>
      </c>
      <c r="H12">
        <v>0.41399999999999998</v>
      </c>
    </row>
    <row r="13" spans="1:8" x14ac:dyDescent="0.2">
      <c r="A13" t="s">
        <v>20</v>
      </c>
      <c r="B13" t="s">
        <v>21</v>
      </c>
      <c r="C13">
        <v>0.16900000000000001</v>
      </c>
      <c r="D13">
        <v>-0.28899999999999998</v>
      </c>
      <c r="E13" t="s">
        <v>20</v>
      </c>
      <c r="F13" t="s">
        <v>21</v>
      </c>
      <c r="G13">
        <v>0.151</v>
      </c>
      <c r="H13">
        <v>-0.14499999999999999</v>
      </c>
    </row>
    <row r="14" spans="1:8" x14ac:dyDescent="0.2">
      <c r="A14" t="s">
        <v>22</v>
      </c>
      <c r="B14" t="s">
        <v>21</v>
      </c>
      <c r="C14">
        <v>0.69599999999999995</v>
      </c>
      <c r="D14">
        <v>-4.3999999999999997E-2</v>
      </c>
      <c r="E14" t="s">
        <v>22</v>
      </c>
      <c r="F14" t="s">
        <v>21</v>
      </c>
      <c r="G14">
        <v>0.77100000000000002</v>
      </c>
      <c r="H14">
        <v>-0.252</v>
      </c>
    </row>
    <row r="15" spans="1:8" x14ac:dyDescent="0.2">
      <c r="A15" t="s">
        <v>23</v>
      </c>
      <c r="B15" t="s">
        <v>21</v>
      </c>
      <c r="C15">
        <v>7.3999999999999996E-2</v>
      </c>
      <c r="D15">
        <v>0.14000000000000001</v>
      </c>
      <c r="E15" t="s">
        <v>23</v>
      </c>
      <c r="F15" t="s">
        <v>21</v>
      </c>
      <c r="G15">
        <v>7.4999999999999997E-2</v>
      </c>
      <c r="H15">
        <v>3.9E-2</v>
      </c>
    </row>
    <row r="16" spans="1:8" x14ac:dyDescent="0.2">
      <c r="A16" s="3" t="s">
        <v>24</v>
      </c>
      <c r="B16" s="3" t="s">
        <v>25</v>
      </c>
      <c r="C16" s="3">
        <v>0.19700000000000001</v>
      </c>
      <c r="D16" s="3">
        <v>5.0999999999999997E-2</v>
      </c>
      <c r="E16" s="3" t="s">
        <v>24</v>
      </c>
      <c r="F16" s="3" t="s">
        <v>25</v>
      </c>
      <c r="G16" s="3">
        <v>0.217</v>
      </c>
      <c r="H16" s="3">
        <v>-6.4000000000000001E-2</v>
      </c>
    </row>
    <row r="17" spans="1:8" x14ac:dyDescent="0.2">
      <c r="A17" s="2" t="s">
        <v>26</v>
      </c>
      <c r="B17" s="2" t="s">
        <v>25</v>
      </c>
      <c r="C17" s="2">
        <v>0.83099999999999996</v>
      </c>
      <c r="D17" s="2">
        <v>0.502</v>
      </c>
      <c r="E17" s="2" t="s">
        <v>93</v>
      </c>
      <c r="F17" s="2" t="s">
        <v>25</v>
      </c>
      <c r="G17" s="2">
        <v>1.046</v>
      </c>
      <c r="H17" s="2">
        <v>-0.13800000000000001</v>
      </c>
    </row>
    <row r="18" spans="1:8" x14ac:dyDescent="0.2">
      <c r="A18" s="3" t="s">
        <v>27</v>
      </c>
      <c r="B18" s="3" t="s">
        <v>25</v>
      </c>
      <c r="C18" s="3">
        <v>0.112</v>
      </c>
      <c r="D18" s="3">
        <v>3.5999999999999997E-2</v>
      </c>
      <c r="E18" s="3" t="s">
        <v>27</v>
      </c>
      <c r="F18" s="3" t="s">
        <v>25</v>
      </c>
      <c r="G18" s="3">
        <v>0.121</v>
      </c>
      <c r="H18" s="3">
        <v>-0.104</v>
      </c>
    </row>
    <row r="19" spans="1:8" x14ac:dyDescent="0.2">
      <c r="A19" t="s">
        <v>28</v>
      </c>
      <c r="B19" t="s">
        <v>25</v>
      </c>
      <c r="C19">
        <v>0.11600000000000001</v>
      </c>
      <c r="D19">
        <v>0.495</v>
      </c>
      <c r="E19" t="s">
        <v>28</v>
      </c>
      <c r="F19" t="s">
        <v>25</v>
      </c>
      <c r="G19">
        <v>0.114</v>
      </c>
      <c r="H19">
        <v>0.78700000000000003</v>
      </c>
    </row>
    <row r="20" spans="1:8" x14ac:dyDescent="0.2">
      <c r="A20" s="3" t="s">
        <v>29</v>
      </c>
      <c r="B20" s="3" t="s">
        <v>25</v>
      </c>
      <c r="C20" s="3">
        <v>0.64500000000000002</v>
      </c>
      <c r="D20" s="3">
        <v>-0.42599999999999999</v>
      </c>
      <c r="E20" s="3" t="s">
        <v>29</v>
      </c>
      <c r="F20" s="3" t="s">
        <v>25</v>
      </c>
      <c r="G20" s="3">
        <v>0.51700000000000002</v>
      </c>
      <c r="H20" s="3">
        <v>-7.2999999999999995E-2</v>
      </c>
    </row>
    <row r="21" spans="1:8" x14ac:dyDescent="0.2">
      <c r="A21" t="s">
        <v>30</v>
      </c>
      <c r="B21" t="s">
        <v>25</v>
      </c>
      <c r="C21">
        <v>9.4E-2</v>
      </c>
      <c r="D21">
        <v>0.371</v>
      </c>
      <c r="E21" t="s">
        <v>30</v>
      </c>
      <c r="F21" t="s">
        <v>25</v>
      </c>
      <c r="G21">
        <v>8.7999999999999995E-2</v>
      </c>
      <c r="H21">
        <v>0.42499999999999999</v>
      </c>
    </row>
    <row r="22" spans="1:8" x14ac:dyDescent="0.2">
      <c r="A22" t="s">
        <v>31</v>
      </c>
      <c r="B22" t="s">
        <v>32</v>
      </c>
      <c r="C22">
        <v>0.13300000000000001</v>
      </c>
      <c r="D22">
        <v>5.3999999999999999E-2</v>
      </c>
      <c r="E22" t="s">
        <v>31</v>
      </c>
      <c r="F22" t="s">
        <v>32</v>
      </c>
      <c r="G22">
        <v>0.13700000000000001</v>
      </c>
      <c r="H22">
        <v>5.5E-2</v>
      </c>
    </row>
    <row r="23" spans="1:8" x14ac:dyDescent="0.2">
      <c r="A23" s="2" t="s">
        <v>33</v>
      </c>
      <c r="B23" s="2" t="s">
        <v>32</v>
      </c>
      <c r="C23" s="2">
        <v>1.0860000000000001</v>
      </c>
      <c r="D23" s="2">
        <v>4.3999999999999997E-2</v>
      </c>
      <c r="E23" s="2" t="s">
        <v>94</v>
      </c>
      <c r="F23" s="2" t="s">
        <v>32</v>
      </c>
      <c r="G23" s="2">
        <v>0.999</v>
      </c>
      <c r="H23" s="2">
        <v>-0.41899999999999998</v>
      </c>
    </row>
    <row r="24" spans="1:8" x14ac:dyDescent="0.2">
      <c r="A24" t="s">
        <v>34</v>
      </c>
      <c r="B24" t="s">
        <v>32</v>
      </c>
      <c r="C24">
        <v>0.185</v>
      </c>
      <c r="D24">
        <v>0.45500000000000002</v>
      </c>
      <c r="E24" t="s">
        <v>34</v>
      </c>
      <c r="F24" t="s">
        <v>32</v>
      </c>
      <c r="G24">
        <v>0.17799999999999999</v>
      </c>
      <c r="H24">
        <v>0.61</v>
      </c>
    </row>
    <row r="25" spans="1:8" x14ac:dyDescent="0.2">
      <c r="A25" t="s">
        <v>35</v>
      </c>
      <c r="B25" t="s">
        <v>32</v>
      </c>
      <c r="C25">
        <v>0.17199999999999999</v>
      </c>
      <c r="D25">
        <v>2.4E-2</v>
      </c>
      <c r="E25" t="s">
        <v>35</v>
      </c>
      <c r="F25" t="s">
        <v>32</v>
      </c>
      <c r="G25">
        <v>0.159</v>
      </c>
      <c r="H25">
        <v>0.10100000000000001</v>
      </c>
    </row>
    <row r="26" spans="1:8" x14ac:dyDescent="0.2">
      <c r="A26" t="s">
        <v>36</v>
      </c>
      <c r="B26" t="s">
        <v>32</v>
      </c>
      <c r="C26">
        <v>0.83699999999999997</v>
      </c>
      <c r="D26">
        <v>-0.37</v>
      </c>
      <c r="E26" t="s">
        <v>36</v>
      </c>
      <c r="F26" t="s">
        <v>32</v>
      </c>
      <c r="G26">
        <v>0.89400000000000002</v>
      </c>
      <c r="H26">
        <v>-0.56200000000000006</v>
      </c>
    </row>
    <row r="27" spans="1:8" x14ac:dyDescent="0.2">
      <c r="A27" t="s">
        <v>37</v>
      </c>
      <c r="B27" t="s">
        <v>32</v>
      </c>
      <c r="C27">
        <v>0.20100000000000001</v>
      </c>
      <c r="D27">
        <v>0.10299999999999999</v>
      </c>
      <c r="E27" t="s">
        <v>37</v>
      </c>
      <c r="F27" t="s">
        <v>32</v>
      </c>
      <c r="G27">
        <v>0.17299999999999999</v>
      </c>
      <c r="H27">
        <v>0.42499999999999999</v>
      </c>
    </row>
    <row r="28" spans="1:8" x14ac:dyDescent="0.2">
      <c r="A28" s="3" t="s">
        <v>38</v>
      </c>
      <c r="B28" s="3" t="s">
        <v>32</v>
      </c>
      <c r="C28" s="3">
        <v>0.27600000000000002</v>
      </c>
      <c r="D28" s="3">
        <v>9.1999999999999998E-2</v>
      </c>
      <c r="E28" s="3" t="s">
        <v>38</v>
      </c>
      <c r="F28" s="3" t="s">
        <v>32</v>
      </c>
      <c r="G28" s="3">
        <v>0.30199999999999999</v>
      </c>
      <c r="H28" s="3">
        <v>-7.0000000000000007E-2</v>
      </c>
    </row>
    <row r="29" spans="1:8" x14ac:dyDescent="0.2">
      <c r="A29" t="s">
        <v>39</v>
      </c>
      <c r="B29" t="s">
        <v>40</v>
      </c>
      <c r="C29">
        <v>0.182</v>
      </c>
      <c r="D29">
        <v>0.129</v>
      </c>
      <c r="E29" t="s">
        <v>39</v>
      </c>
      <c r="F29" t="s">
        <v>40</v>
      </c>
      <c r="G29">
        <v>0.19900000000000001</v>
      </c>
      <c r="H29">
        <v>7.4999999999999997E-2</v>
      </c>
    </row>
    <row r="30" spans="1:8" x14ac:dyDescent="0.2">
      <c r="A30" t="s">
        <v>41</v>
      </c>
      <c r="B30" t="s">
        <v>40</v>
      </c>
      <c r="C30">
        <v>1.234</v>
      </c>
      <c r="D30">
        <v>-0.54200000000000004</v>
      </c>
      <c r="E30" t="s">
        <v>41</v>
      </c>
      <c r="F30" t="s">
        <v>40</v>
      </c>
      <c r="G30">
        <v>1.091</v>
      </c>
      <c r="H30">
        <v>-0.52900000000000003</v>
      </c>
    </row>
    <row r="31" spans="1:8" x14ac:dyDescent="0.2">
      <c r="A31" t="s">
        <v>42</v>
      </c>
      <c r="B31" t="s">
        <v>40</v>
      </c>
      <c r="C31">
        <v>0.22500000000000001</v>
      </c>
      <c r="D31">
        <v>0.64600000000000002</v>
      </c>
      <c r="E31" t="s">
        <v>42</v>
      </c>
      <c r="F31" t="s">
        <v>40</v>
      </c>
      <c r="G31">
        <v>0.22800000000000001</v>
      </c>
      <c r="H31">
        <v>0.68</v>
      </c>
    </row>
    <row r="32" spans="1:8" x14ac:dyDescent="0.2">
      <c r="A32" t="s">
        <v>43</v>
      </c>
      <c r="B32" t="s">
        <v>40</v>
      </c>
      <c r="C32">
        <v>0.218</v>
      </c>
      <c r="D32">
        <v>-0.155</v>
      </c>
      <c r="E32" t="s">
        <v>43</v>
      </c>
      <c r="F32" t="s">
        <v>40</v>
      </c>
      <c r="G32">
        <v>0.22600000000000001</v>
      </c>
      <c r="H32">
        <v>-0.106</v>
      </c>
    </row>
    <row r="33" spans="1:8" x14ac:dyDescent="0.2">
      <c r="A33" s="3" t="s">
        <v>44</v>
      </c>
      <c r="B33" s="3" t="s">
        <v>40</v>
      </c>
      <c r="C33" s="3">
        <v>0.45100000000000001</v>
      </c>
      <c r="D33" s="3">
        <v>8.6999999999999994E-2</v>
      </c>
      <c r="E33" s="3" t="s">
        <v>44</v>
      </c>
      <c r="F33" s="3" t="s">
        <v>40</v>
      </c>
      <c r="G33" s="3">
        <v>0.55900000000000005</v>
      </c>
      <c r="H33" s="3">
        <v>-0.36099999999999999</v>
      </c>
    </row>
    <row r="34" spans="1:8" x14ac:dyDescent="0.2">
      <c r="A34" t="s">
        <v>45</v>
      </c>
      <c r="B34" t="s">
        <v>40</v>
      </c>
      <c r="C34">
        <v>0.35799999999999998</v>
      </c>
      <c r="D34">
        <v>-0.16700000000000001</v>
      </c>
      <c r="E34" t="s">
        <v>45</v>
      </c>
      <c r="F34" t="s">
        <v>40</v>
      </c>
      <c r="G34">
        <v>0.34499999999999997</v>
      </c>
      <c r="H34">
        <v>-7.3999999999999996E-2</v>
      </c>
    </row>
    <row r="35" spans="1:8" x14ac:dyDescent="0.2">
      <c r="A35" t="s">
        <v>46</v>
      </c>
      <c r="B35" t="s">
        <v>47</v>
      </c>
      <c r="C35">
        <v>0.159</v>
      </c>
      <c r="D35">
        <v>6.4000000000000001E-2</v>
      </c>
      <c r="E35" t="s">
        <v>46</v>
      </c>
      <c r="F35" t="s">
        <v>47</v>
      </c>
      <c r="G35">
        <v>0.13800000000000001</v>
      </c>
      <c r="H35">
        <v>0.35699999999999998</v>
      </c>
    </row>
    <row r="36" spans="1:8" x14ac:dyDescent="0.2">
      <c r="A36" t="s">
        <v>48</v>
      </c>
      <c r="B36" t="s">
        <v>47</v>
      </c>
      <c r="C36">
        <v>0.71699999999999997</v>
      </c>
      <c r="D36">
        <v>-0.20899999999999999</v>
      </c>
      <c r="E36" t="s">
        <v>48</v>
      </c>
      <c r="F36" t="s">
        <v>47</v>
      </c>
      <c r="G36">
        <v>0.71299999999999997</v>
      </c>
      <c r="H36">
        <v>-0.33200000000000002</v>
      </c>
    </row>
    <row r="37" spans="1:8" x14ac:dyDescent="0.2">
      <c r="A37" t="s">
        <v>49</v>
      </c>
      <c r="B37" t="s">
        <v>47</v>
      </c>
      <c r="C37">
        <v>0.312</v>
      </c>
      <c r="D37">
        <v>0.14699999999999999</v>
      </c>
      <c r="E37" t="s">
        <v>49</v>
      </c>
      <c r="F37" t="s">
        <v>47</v>
      </c>
      <c r="G37">
        <v>0.249</v>
      </c>
      <c r="H37">
        <v>0.61399999999999999</v>
      </c>
    </row>
    <row r="38" spans="1:8" x14ac:dyDescent="0.2">
      <c r="A38" t="s">
        <v>50</v>
      </c>
      <c r="B38" t="s">
        <v>47</v>
      </c>
      <c r="C38">
        <v>0.124</v>
      </c>
      <c r="D38">
        <v>0.35299999999999998</v>
      </c>
      <c r="E38" t="s">
        <v>50</v>
      </c>
      <c r="F38" t="s">
        <v>47</v>
      </c>
      <c r="G38">
        <v>0.13200000000000001</v>
      </c>
      <c r="H38">
        <v>0.27</v>
      </c>
    </row>
    <row r="39" spans="1:8" x14ac:dyDescent="0.2">
      <c r="A39" t="s">
        <v>51</v>
      </c>
      <c r="B39" t="s">
        <v>47</v>
      </c>
      <c r="C39">
        <v>0.55000000000000004</v>
      </c>
      <c r="D39">
        <v>-0.29099999999999998</v>
      </c>
      <c r="E39" t="s">
        <v>51</v>
      </c>
      <c r="F39" t="s">
        <v>47</v>
      </c>
      <c r="G39">
        <v>0.50900000000000001</v>
      </c>
      <c r="H39">
        <v>-0.192</v>
      </c>
    </row>
    <row r="40" spans="1:8" x14ac:dyDescent="0.2">
      <c r="A40" s="3" t="s">
        <v>52</v>
      </c>
      <c r="B40" s="3" t="s">
        <v>47</v>
      </c>
      <c r="C40" s="3">
        <v>0.27</v>
      </c>
      <c r="D40" s="3">
        <v>-0.161</v>
      </c>
      <c r="E40" s="3" t="s">
        <v>52</v>
      </c>
      <c r="F40" s="3" t="s">
        <v>47</v>
      </c>
      <c r="G40" s="3">
        <v>0.24</v>
      </c>
      <c r="H40" s="3">
        <v>0.05</v>
      </c>
    </row>
    <row r="41" spans="1:8" x14ac:dyDescent="0.2">
      <c r="A41" t="s">
        <v>53</v>
      </c>
      <c r="B41" t="s">
        <v>54</v>
      </c>
      <c r="C41">
        <v>0.14699999999999999</v>
      </c>
      <c r="D41">
        <v>0.17199999999999999</v>
      </c>
      <c r="E41" t="s">
        <v>53</v>
      </c>
      <c r="F41" t="s">
        <v>54</v>
      </c>
      <c r="G41">
        <v>0.14299999999999999</v>
      </c>
      <c r="H41">
        <v>0.254</v>
      </c>
    </row>
    <row r="42" spans="1:8" x14ac:dyDescent="0.2">
      <c r="A42" t="s">
        <v>55</v>
      </c>
      <c r="B42" t="s">
        <v>54</v>
      </c>
      <c r="C42">
        <v>0.81399999999999995</v>
      </c>
      <c r="D42">
        <v>-0.17799999999999999</v>
      </c>
      <c r="E42" t="s">
        <v>55</v>
      </c>
      <c r="F42" t="s">
        <v>54</v>
      </c>
      <c r="G42">
        <v>0.78400000000000003</v>
      </c>
      <c r="H42">
        <v>-7.0999999999999994E-2</v>
      </c>
    </row>
    <row r="43" spans="1:8" x14ac:dyDescent="0.2">
      <c r="A43" t="s">
        <v>56</v>
      </c>
      <c r="B43" t="s">
        <v>54</v>
      </c>
      <c r="C43">
        <v>0.30499999999999999</v>
      </c>
      <c r="D43">
        <v>0.17699999999999999</v>
      </c>
      <c r="E43" t="s">
        <v>56</v>
      </c>
      <c r="F43" t="s">
        <v>54</v>
      </c>
      <c r="G43">
        <v>0.33200000000000002</v>
      </c>
      <c r="H43">
        <v>1.4E-2</v>
      </c>
    </row>
    <row r="44" spans="1:8" x14ac:dyDescent="0.2">
      <c r="A44" t="s">
        <v>57</v>
      </c>
      <c r="B44" t="s">
        <v>54</v>
      </c>
      <c r="C44">
        <v>0.14299999999999999</v>
      </c>
      <c r="D44">
        <v>0.24</v>
      </c>
      <c r="E44" t="s">
        <v>57</v>
      </c>
      <c r="F44" t="s">
        <v>54</v>
      </c>
      <c r="G44">
        <v>0.158</v>
      </c>
      <c r="H44">
        <v>0.13500000000000001</v>
      </c>
    </row>
    <row r="45" spans="1:8" x14ac:dyDescent="0.2">
      <c r="A45" t="s">
        <v>58</v>
      </c>
      <c r="B45" t="s">
        <v>54</v>
      </c>
      <c r="C45">
        <v>0.372</v>
      </c>
      <c r="D45">
        <v>-4.3999999999999997E-2</v>
      </c>
      <c r="E45" t="s">
        <v>58</v>
      </c>
      <c r="F45" t="s">
        <v>54</v>
      </c>
      <c r="G45">
        <v>0.43099999999999999</v>
      </c>
      <c r="H45">
        <v>-0.19600000000000001</v>
      </c>
    </row>
    <row r="46" spans="1:8" x14ac:dyDescent="0.2">
      <c r="A46" t="s">
        <v>59</v>
      </c>
      <c r="B46" t="s">
        <v>54</v>
      </c>
      <c r="C46">
        <v>0.28100000000000003</v>
      </c>
      <c r="D46">
        <v>4.7E-2</v>
      </c>
      <c r="E46" t="s">
        <v>59</v>
      </c>
      <c r="F46" t="s">
        <v>54</v>
      </c>
      <c r="G46">
        <v>0.25800000000000001</v>
      </c>
      <c r="H46">
        <v>6.9000000000000006E-2</v>
      </c>
    </row>
    <row r="47" spans="1:8" x14ac:dyDescent="0.2">
      <c r="A47" t="s">
        <v>60</v>
      </c>
      <c r="B47" t="s">
        <v>61</v>
      </c>
      <c r="C47">
        <v>0.252</v>
      </c>
      <c r="D47">
        <v>-0.31</v>
      </c>
      <c r="E47" t="s">
        <v>60</v>
      </c>
      <c r="F47" t="s">
        <v>61</v>
      </c>
      <c r="G47">
        <v>0.24099999999999999</v>
      </c>
      <c r="H47">
        <v>-0.23599999999999999</v>
      </c>
    </row>
    <row r="48" spans="1:8" x14ac:dyDescent="0.2">
      <c r="A48" t="s">
        <v>62</v>
      </c>
      <c r="B48" t="s">
        <v>63</v>
      </c>
      <c r="C48">
        <v>0.246</v>
      </c>
      <c r="D48">
        <v>-0.16600000000000001</v>
      </c>
      <c r="E48" t="s">
        <v>62</v>
      </c>
      <c r="F48" t="s">
        <v>63</v>
      </c>
      <c r="G48">
        <v>0.251</v>
      </c>
      <c r="H48">
        <v>-0.29099999999999998</v>
      </c>
    </row>
    <row r="49" spans="1:8" x14ac:dyDescent="0.2">
      <c r="A49" s="3" t="s">
        <v>64</v>
      </c>
      <c r="B49" s="3" t="s">
        <v>65</v>
      </c>
      <c r="C49" s="3">
        <v>0.124</v>
      </c>
      <c r="D49" s="3">
        <v>0.152</v>
      </c>
      <c r="E49" s="3" t="s">
        <v>64</v>
      </c>
      <c r="F49" s="3" t="s">
        <v>65</v>
      </c>
      <c r="G49" s="3">
        <v>0.14099999999999999</v>
      </c>
      <c r="H49" s="3">
        <v>-2.1999999999999999E-2</v>
      </c>
    </row>
    <row r="50" spans="1:8" x14ac:dyDescent="0.2">
      <c r="A50" t="s">
        <v>66</v>
      </c>
      <c r="B50" t="s">
        <v>67</v>
      </c>
      <c r="C50">
        <v>0.307</v>
      </c>
      <c r="D50">
        <v>-0.25</v>
      </c>
      <c r="E50" t="s">
        <v>66</v>
      </c>
      <c r="F50" t="s">
        <v>67</v>
      </c>
      <c r="G50">
        <v>0.35</v>
      </c>
      <c r="H50">
        <v>-0.48899999999999999</v>
      </c>
    </row>
    <row r="51" spans="1:8" x14ac:dyDescent="0.2">
      <c r="A51" t="s">
        <v>68</v>
      </c>
      <c r="B51" t="s">
        <v>69</v>
      </c>
      <c r="C51">
        <v>0.185</v>
      </c>
      <c r="D51">
        <v>1.4E-2</v>
      </c>
      <c r="E51" t="s">
        <v>68</v>
      </c>
      <c r="F51" t="s">
        <v>69</v>
      </c>
      <c r="G51">
        <v>0.16900000000000001</v>
      </c>
      <c r="H51">
        <v>0.19600000000000001</v>
      </c>
    </row>
    <row r="52" spans="1:8" x14ac:dyDescent="0.2">
      <c r="A52" t="s">
        <v>70</v>
      </c>
      <c r="B52" t="s">
        <v>71</v>
      </c>
      <c r="C52">
        <v>0.46</v>
      </c>
      <c r="D52">
        <v>-0.315</v>
      </c>
      <c r="E52" t="s">
        <v>70</v>
      </c>
      <c r="F52" t="s">
        <v>71</v>
      </c>
      <c r="G52">
        <v>0.46400000000000002</v>
      </c>
      <c r="H52">
        <v>-0.35699999999999998</v>
      </c>
    </row>
    <row r="53" spans="1:8" x14ac:dyDescent="0.2">
      <c r="A53" t="s">
        <v>72</v>
      </c>
      <c r="B53" t="s">
        <v>73</v>
      </c>
      <c r="C53">
        <v>0.14799999999999999</v>
      </c>
      <c r="D53">
        <v>0.11899999999999999</v>
      </c>
      <c r="E53" t="s">
        <v>72</v>
      </c>
      <c r="F53" t="s">
        <v>73</v>
      </c>
      <c r="G53">
        <v>0.14000000000000001</v>
      </c>
      <c r="H53">
        <v>0.20699999999999999</v>
      </c>
    </row>
    <row r="54" spans="1:8" x14ac:dyDescent="0.2">
      <c r="A54" s="3" t="s">
        <v>74</v>
      </c>
      <c r="B54" s="3" t="s">
        <v>75</v>
      </c>
      <c r="C54" s="3">
        <v>0.252</v>
      </c>
      <c r="D54" s="3">
        <v>4.2000000000000003E-2</v>
      </c>
      <c r="E54" s="3" t="s">
        <v>74</v>
      </c>
      <c r="F54" s="3" t="s">
        <v>75</v>
      </c>
      <c r="G54" s="3">
        <v>0.26800000000000002</v>
      </c>
      <c r="H54" s="3">
        <v>-6.6000000000000003E-2</v>
      </c>
    </row>
    <row r="55" spans="1:8" x14ac:dyDescent="0.2">
      <c r="A55" s="3" t="s">
        <v>76</v>
      </c>
      <c r="B55" s="3" t="s">
        <v>77</v>
      </c>
      <c r="C55" s="3">
        <v>0.28799999999999998</v>
      </c>
      <c r="D55" s="3">
        <v>-0.218</v>
      </c>
      <c r="E55" s="3" t="s">
        <v>76</v>
      </c>
      <c r="F55" s="3" t="s">
        <v>77</v>
      </c>
      <c r="G55" s="3">
        <v>0.27300000000000002</v>
      </c>
      <c r="H55" s="3">
        <v>4.2999999999999997E-2</v>
      </c>
    </row>
    <row r="56" spans="1:8" x14ac:dyDescent="0.2">
      <c r="A56" t="s">
        <v>78</v>
      </c>
      <c r="B56" t="s">
        <v>77</v>
      </c>
      <c r="C56">
        <v>1.135</v>
      </c>
      <c r="D56">
        <v>-0.752</v>
      </c>
      <c r="E56" t="s">
        <v>78</v>
      </c>
      <c r="F56" t="s">
        <v>77</v>
      </c>
      <c r="G56">
        <v>0.93200000000000005</v>
      </c>
      <c r="H56">
        <v>-0.58099999999999996</v>
      </c>
    </row>
    <row r="57" spans="1:8" x14ac:dyDescent="0.2">
      <c r="A57" t="s">
        <v>79</v>
      </c>
      <c r="B57" t="s">
        <v>77</v>
      </c>
      <c r="C57">
        <v>0.25700000000000001</v>
      </c>
      <c r="D57">
        <v>-0.184</v>
      </c>
      <c r="E57" t="s">
        <v>79</v>
      </c>
      <c r="F57" t="s">
        <v>77</v>
      </c>
      <c r="G57">
        <v>0.23799999999999999</v>
      </c>
      <c r="H57">
        <v>-0.20699999999999999</v>
      </c>
    </row>
    <row r="58" spans="1:8" x14ac:dyDescent="0.2">
      <c r="A58" s="3" t="s">
        <v>80</v>
      </c>
      <c r="B58" s="3" t="s">
        <v>77</v>
      </c>
      <c r="C58" s="3">
        <v>0.159</v>
      </c>
      <c r="D58" s="3">
        <v>0.123</v>
      </c>
      <c r="E58" s="3" t="s">
        <v>80</v>
      </c>
      <c r="F58" s="3" t="s">
        <v>77</v>
      </c>
      <c r="G58" s="3">
        <v>0.188</v>
      </c>
      <c r="H58" s="3">
        <v>-2.1999999999999999E-2</v>
      </c>
    </row>
    <row r="59" spans="1:8" x14ac:dyDescent="0.2">
      <c r="A59" t="s">
        <v>81</v>
      </c>
      <c r="B59" t="s">
        <v>77</v>
      </c>
      <c r="C59">
        <v>0.64300000000000002</v>
      </c>
      <c r="D59">
        <v>0.156</v>
      </c>
      <c r="E59" t="s">
        <v>81</v>
      </c>
      <c r="F59" t="s">
        <v>77</v>
      </c>
      <c r="G59">
        <v>0.50600000000000001</v>
      </c>
      <c r="H59">
        <v>0.41699999999999998</v>
      </c>
    </row>
    <row r="60" spans="1:8" x14ac:dyDescent="0.2">
      <c r="A60" t="s">
        <v>82</v>
      </c>
      <c r="B60" t="s">
        <v>77</v>
      </c>
      <c r="C60">
        <v>0.28499999999999998</v>
      </c>
      <c r="D60">
        <v>-0.17199999999999999</v>
      </c>
      <c r="E60" t="s">
        <v>82</v>
      </c>
      <c r="F60" t="s">
        <v>77</v>
      </c>
      <c r="G60">
        <v>0.32700000000000001</v>
      </c>
      <c r="H60">
        <v>-0.45</v>
      </c>
    </row>
    <row r="61" spans="1:8" x14ac:dyDescent="0.2">
      <c r="A61" t="s">
        <v>83</v>
      </c>
      <c r="B61" t="s">
        <v>77</v>
      </c>
      <c r="C61">
        <v>0.25</v>
      </c>
      <c r="D61">
        <v>0.69699999999999995</v>
      </c>
      <c r="E61" t="s">
        <v>83</v>
      </c>
      <c r="F61" t="s">
        <v>77</v>
      </c>
      <c r="G61">
        <v>0.23300000000000001</v>
      </c>
      <c r="H61">
        <v>1.228</v>
      </c>
    </row>
    <row r="62" spans="1:8" x14ac:dyDescent="0.2">
      <c r="A62" t="s">
        <v>84</v>
      </c>
      <c r="B62" t="s">
        <v>77</v>
      </c>
      <c r="C62">
        <v>0.26200000000000001</v>
      </c>
      <c r="D62">
        <v>-0.25900000000000001</v>
      </c>
      <c r="E62" t="s">
        <v>84</v>
      </c>
      <c r="F62" t="s">
        <v>77</v>
      </c>
      <c r="G62">
        <v>0.24199999999999999</v>
      </c>
      <c r="H62">
        <v>-0.151</v>
      </c>
    </row>
    <row r="63" spans="1:8" x14ac:dyDescent="0.2">
      <c r="A63" t="s">
        <v>85</v>
      </c>
      <c r="B63" t="s">
        <v>77</v>
      </c>
      <c r="C63">
        <v>0.39100000000000001</v>
      </c>
      <c r="D63">
        <v>0.753</v>
      </c>
      <c r="E63" t="s">
        <v>85</v>
      </c>
      <c r="F63" t="s">
        <v>77</v>
      </c>
      <c r="G63">
        <v>0.36699999999999999</v>
      </c>
      <c r="H63">
        <v>0.84299999999999997</v>
      </c>
    </row>
    <row r="64" spans="1:8" x14ac:dyDescent="0.2">
      <c r="A64" t="s">
        <v>86</v>
      </c>
      <c r="B64" t="s">
        <v>87</v>
      </c>
      <c r="C64">
        <v>0.26200000000000001</v>
      </c>
      <c r="D64">
        <v>8.8999999999999996E-2</v>
      </c>
      <c r="E64" t="s">
        <v>86</v>
      </c>
      <c r="F64" t="s">
        <v>87</v>
      </c>
      <c r="G64">
        <v>0.23</v>
      </c>
      <c r="H64">
        <v>0.25600000000000001</v>
      </c>
    </row>
    <row r="65" spans="1:8" x14ac:dyDescent="0.2">
      <c r="A65" t="s">
        <v>88</v>
      </c>
      <c r="B65" t="s">
        <v>87</v>
      </c>
      <c r="C65">
        <v>0.54500000000000004</v>
      </c>
      <c r="D65">
        <v>-0.39900000000000002</v>
      </c>
      <c r="E65" t="s">
        <v>88</v>
      </c>
      <c r="F65" t="s">
        <v>87</v>
      </c>
      <c r="G65">
        <v>0.56200000000000006</v>
      </c>
      <c r="H65">
        <v>-0.61599999999999999</v>
      </c>
    </row>
    <row r="66" spans="1:8" x14ac:dyDescent="0.2">
      <c r="A66" t="s">
        <v>89</v>
      </c>
      <c r="B66" t="s">
        <v>87</v>
      </c>
      <c r="C66">
        <v>0.751</v>
      </c>
      <c r="D66">
        <v>-0.40799999999999997</v>
      </c>
      <c r="E66" t="s">
        <v>89</v>
      </c>
      <c r="F66" t="s">
        <v>87</v>
      </c>
      <c r="G66">
        <v>0.66500000000000004</v>
      </c>
      <c r="H66">
        <v>-0.19</v>
      </c>
    </row>
    <row r="67" spans="1:8" x14ac:dyDescent="0.2">
      <c r="A67" t="s">
        <v>90</v>
      </c>
      <c r="B67" t="s">
        <v>87</v>
      </c>
      <c r="C67">
        <v>0.23400000000000001</v>
      </c>
      <c r="D67">
        <v>0.38600000000000001</v>
      </c>
      <c r="E67" t="s">
        <v>90</v>
      </c>
      <c r="F67" t="s">
        <v>87</v>
      </c>
      <c r="G67">
        <v>0.19</v>
      </c>
      <c r="H67">
        <v>0.89800000000000002</v>
      </c>
    </row>
    <row r="68" spans="1:8" x14ac:dyDescent="0.2">
      <c r="A68" t="s">
        <v>91</v>
      </c>
      <c r="B68" t="s">
        <v>87</v>
      </c>
      <c r="C68">
        <v>0.28699999999999998</v>
      </c>
      <c r="D68">
        <v>0.22600000000000001</v>
      </c>
      <c r="E68" t="s">
        <v>91</v>
      </c>
      <c r="F68" t="s">
        <v>87</v>
      </c>
      <c r="G68">
        <v>0.23400000000000001</v>
      </c>
      <c r="H68">
        <v>0.82399999999999995</v>
      </c>
    </row>
    <row r="69" spans="1:8" x14ac:dyDescent="0.2">
      <c r="A69" t="s">
        <v>92</v>
      </c>
      <c r="B69" t="s">
        <v>87</v>
      </c>
      <c r="C69">
        <v>0.73</v>
      </c>
      <c r="D69">
        <v>0.55500000000000005</v>
      </c>
      <c r="E69" t="s">
        <v>92</v>
      </c>
      <c r="F69" t="s">
        <v>87</v>
      </c>
      <c r="G69">
        <v>0.67100000000000004</v>
      </c>
      <c r="H69">
        <v>0.64700000000000002</v>
      </c>
    </row>
  </sheetData>
  <mergeCells count="2">
    <mergeCell ref="A1:D1"/>
    <mergeCell ref="E1:H1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1AA5-2430-904C-AB06-669F0CCCDEBE}">
  <dimension ref="A1:AA30"/>
  <sheetViews>
    <sheetView tabSelected="1" workbookViewId="0">
      <selection activeCell="L8" sqref="L8"/>
    </sheetView>
  </sheetViews>
  <sheetFormatPr baseColWidth="10" defaultRowHeight="16" x14ac:dyDescent="0.2"/>
  <sheetData>
    <row r="1" spans="1:27" x14ac:dyDescent="0.2">
      <c r="A1" s="12" t="s">
        <v>95</v>
      </c>
      <c r="B1" s="12"/>
      <c r="C1" s="12"/>
      <c r="D1" s="12"/>
      <c r="E1" s="12" t="s">
        <v>96</v>
      </c>
      <c r="F1" s="12"/>
      <c r="G1" s="12"/>
      <c r="H1" s="12"/>
      <c r="I1" s="12"/>
      <c r="J1" s="12"/>
      <c r="K1" s="12"/>
      <c r="L1" s="12"/>
    </row>
    <row r="2" spans="1:27" x14ac:dyDescent="0.2">
      <c r="A2" t="s">
        <v>0</v>
      </c>
      <c r="B2" t="s">
        <v>1</v>
      </c>
      <c r="C2" t="s">
        <v>6</v>
      </c>
      <c r="D2" s="9" t="s">
        <v>7</v>
      </c>
      <c r="E2" t="s">
        <v>0</v>
      </c>
      <c r="F2" t="s">
        <v>1</v>
      </c>
      <c r="G2" t="s">
        <v>6</v>
      </c>
      <c r="H2" s="9" t="s">
        <v>7</v>
      </c>
    </row>
    <row r="3" spans="1:27" x14ac:dyDescent="0.2">
      <c r="A3" t="s">
        <v>39</v>
      </c>
      <c r="B3" t="s">
        <v>40</v>
      </c>
      <c r="C3">
        <v>0.182</v>
      </c>
      <c r="D3" s="9">
        <v>0.129</v>
      </c>
      <c r="E3" t="s">
        <v>39</v>
      </c>
      <c r="F3" t="s">
        <v>40</v>
      </c>
      <c r="G3">
        <v>0.19900000000000001</v>
      </c>
      <c r="H3" s="9">
        <v>7.4999999999999997E-2</v>
      </c>
    </row>
    <row r="4" spans="1:27" x14ac:dyDescent="0.2">
      <c r="A4" t="s">
        <v>41</v>
      </c>
      <c r="B4" t="s">
        <v>40</v>
      </c>
      <c r="C4">
        <v>1.234</v>
      </c>
      <c r="D4" s="9">
        <v>-0.54200000000000004</v>
      </c>
      <c r="E4" t="s">
        <v>41</v>
      </c>
      <c r="F4" t="s">
        <v>40</v>
      </c>
      <c r="G4">
        <v>1.091</v>
      </c>
      <c r="H4" s="9">
        <v>-0.52900000000000003</v>
      </c>
    </row>
    <row r="5" spans="1:27" x14ac:dyDescent="0.2">
      <c r="A5" t="s">
        <v>42</v>
      </c>
      <c r="B5" t="s">
        <v>40</v>
      </c>
      <c r="C5">
        <v>0.22500000000000001</v>
      </c>
      <c r="D5" s="9">
        <v>0.64600000000000002</v>
      </c>
      <c r="E5" t="s">
        <v>42</v>
      </c>
      <c r="F5" t="s">
        <v>40</v>
      </c>
      <c r="G5">
        <v>0.22800000000000001</v>
      </c>
      <c r="H5" s="9">
        <v>0.68</v>
      </c>
    </row>
    <row r="6" spans="1:27" x14ac:dyDescent="0.2">
      <c r="A6" t="s">
        <v>43</v>
      </c>
      <c r="B6" t="s">
        <v>40</v>
      </c>
      <c r="C6">
        <v>0.218</v>
      </c>
      <c r="D6" s="9">
        <v>-0.155</v>
      </c>
      <c r="E6" t="s">
        <v>43</v>
      </c>
      <c r="F6" t="s">
        <v>40</v>
      </c>
      <c r="G6">
        <v>0.22600000000000001</v>
      </c>
      <c r="H6" s="9">
        <v>-0.106</v>
      </c>
      <c r="K6" t="s">
        <v>97</v>
      </c>
      <c r="L6" s="1" t="s">
        <v>54</v>
      </c>
      <c r="M6" s="1" t="s">
        <v>75</v>
      </c>
      <c r="N6" s="1" t="s">
        <v>87</v>
      </c>
      <c r="O6" s="1" t="s">
        <v>47</v>
      </c>
      <c r="R6" s="1" t="s">
        <v>98</v>
      </c>
    </row>
    <row r="7" spans="1:27" x14ac:dyDescent="0.2">
      <c r="A7" s="3" t="s">
        <v>44</v>
      </c>
      <c r="B7" s="3" t="s">
        <v>40</v>
      </c>
      <c r="C7" s="3">
        <v>0.45100000000000001</v>
      </c>
      <c r="D7" s="10">
        <v>8.6999999999999994E-2</v>
      </c>
      <c r="E7" s="3" t="s">
        <v>44</v>
      </c>
      <c r="F7" s="3" t="s">
        <v>40</v>
      </c>
      <c r="G7" s="3">
        <v>0.55900000000000005</v>
      </c>
      <c r="H7" s="10">
        <v>-0.36099999999999999</v>
      </c>
      <c r="K7" s="1" t="s">
        <v>54</v>
      </c>
      <c r="L7">
        <v>0</v>
      </c>
      <c r="M7">
        <v>-0.155</v>
      </c>
      <c r="N7">
        <v>-0.16700000000000001</v>
      </c>
      <c r="O7">
        <v>-0.54200000000000004</v>
      </c>
      <c r="Q7" t="s">
        <v>103</v>
      </c>
      <c r="R7" t="s">
        <v>99</v>
      </c>
      <c r="S7" t="s">
        <v>100</v>
      </c>
      <c r="T7" t="s">
        <v>101</v>
      </c>
      <c r="U7" t="s">
        <v>102</v>
      </c>
      <c r="W7" t="s">
        <v>103</v>
      </c>
      <c r="X7" t="s">
        <v>99</v>
      </c>
      <c r="Y7" t="s">
        <v>100</v>
      </c>
      <c r="Z7" t="s">
        <v>101</v>
      </c>
      <c r="AA7" t="s">
        <v>102</v>
      </c>
    </row>
    <row r="8" spans="1:27" x14ac:dyDescent="0.2">
      <c r="A8" t="s">
        <v>45</v>
      </c>
      <c r="B8" t="s">
        <v>40</v>
      </c>
      <c r="C8">
        <v>0.35799999999999998</v>
      </c>
      <c r="D8" s="9">
        <v>-0.16700000000000001</v>
      </c>
      <c r="E8" t="s">
        <v>45</v>
      </c>
      <c r="F8" t="s">
        <v>40</v>
      </c>
      <c r="G8">
        <v>0.34499999999999997</v>
      </c>
      <c r="H8" s="9">
        <v>-7.3999999999999996E-2</v>
      </c>
      <c r="K8" s="1" t="s">
        <v>75</v>
      </c>
      <c r="L8" s="7">
        <v>0.155</v>
      </c>
      <c r="M8">
        <v>0</v>
      </c>
      <c r="N8">
        <v>-8.6999999999999994E-2</v>
      </c>
      <c r="O8">
        <v>-0.129</v>
      </c>
      <c r="Q8" t="s">
        <v>104</v>
      </c>
      <c r="R8">
        <v>1</v>
      </c>
      <c r="S8">
        <v>1.20075</v>
      </c>
      <c r="T8">
        <v>1.1180000000000001</v>
      </c>
      <c r="U8">
        <v>1.54525</v>
      </c>
      <c r="W8" t="s">
        <v>104</v>
      </c>
      <c r="X8">
        <f>R8-1</f>
        <v>0</v>
      </c>
      <c r="Y8">
        <f t="shared" ref="Y8:AA8" si="0">S8-1</f>
        <v>0.20074999999999998</v>
      </c>
      <c r="Z8">
        <f t="shared" si="0"/>
        <v>0.1180000000000001</v>
      </c>
      <c r="AA8">
        <f t="shared" si="0"/>
        <v>0.54525000000000001</v>
      </c>
    </row>
    <row r="9" spans="1:27" x14ac:dyDescent="0.2">
      <c r="K9" s="1" t="s">
        <v>87</v>
      </c>
      <c r="L9">
        <v>0.16700000000000001</v>
      </c>
      <c r="M9" s="3">
        <v>8.6999999999999994E-2</v>
      </c>
      <c r="N9">
        <v>0</v>
      </c>
      <c r="O9">
        <v>-0.64600000000000002</v>
      </c>
      <c r="Q9" t="s">
        <v>105</v>
      </c>
      <c r="R9">
        <v>1</v>
      </c>
      <c r="S9">
        <v>1.27525</v>
      </c>
      <c r="T9">
        <v>0.9355</v>
      </c>
      <c r="U9">
        <v>1.4982500000000001</v>
      </c>
      <c r="W9" t="s">
        <v>105</v>
      </c>
      <c r="X9">
        <f>R9-1</f>
        <v>0</v>
      </c>
      <c r="Y9">
        <f t="shared" ref="Y9:AA9" si="1">S9-1</f>
        <v>0.27524999999999999</v>
      </c>
      <c r="Z9">
        <f t="shared" si="1"/>
        <v>-6.4500000000000002E-2</v>
      </c>
      <c r="AA9">
        <f t="shared" si="1"/>
        <v>0.49825000000000008</v>
      </c>
    </row>
    <row r="10" spans="1:27" x14ac:dyDescent="0.2">
      <c r="K10" s="1" t="s">
        <v>47</v>
      </c>
      <c r="L10">
        <v>0.54200000000000004</v>
      </c>
      <c r="M10">
        <v>0.129</v>
      </c>
      <c r="N10">
        <v>0.64600000000000002</v>
      </c>
      <c r="O10">
        <v>0</v>
      </c>
    </row>
    <row r="12" spans="1:27" x14ac:dyDescent="0.2">
      <c r="K12" s="1" t="s">
        <v>105</v>
      </c>
      <c r="L12" s="1" t="s">
        <v>54</v>
      </c>
      <c r="M12" s="1" t="s">
        <v>75</v>
      </c>
      <c r="N12" s="1" t="s">
        <v>87</v>
      </c>
      <c r="O12" s="1" t="s">
        <v>47</v>
      </c>
    </row>
    <row r="13" spans="1:27" x14ac:dyDescent="0.2">
      <c r="K13" s="1" t="s">
        <v>54</v>
      </c>
      <c r="L13">
        <v>0</v>
      </c>
      <c r="M13">
        <v>-0.106</v>
      </c>
      <c r="N13">
        <v>-7.3999999999999996E-2</v>
      </c>
      <c r="O13">
        <v>-0.52900000000000003</v>
      </c>
    </row>
    <row r="14" spans="1:27" x14ac:dyDescent="0.2">
      <c r="K14" s="1" t="s">
        <v>75</v>
      </c>
      <c r="L14">
        <v>0.106</v>
      </c>
      <c r="M14">
        <v>0</v>
      </c>
      <c r="N14" s="3">
        <v>0.36099999999999999</v>
      </c>
      <c r="O14">
        <v>-7.4999999999999997E-2</v>
      </c>
    </row>
    <row r="15" spans="1:27" x14ac:dyDescent="0.2">
      <c r="K15" s="1" t="s">
        <v>87</v>
      </c>
      <c r="L15">
        <v>7.3999999999999996E-2</v>
      </c>
      <c r="M15" s="3">
        <v>-0.36099999999999999</v>
      </c>
      <c r="N15">
        <v>0</v>
      </c>
      <c r="O15">
        <v>-0.68</v>
      </c>
    </row>
    <row r="16" spans="1:27" x14ac:dyDescent="0.2">
      <c r="K16" s="1" t="s">
        <v>47</v>
      </c>
      <c r="L16">
        <v>0.52900000000000003</v>
      </c>
      <c r="M16">
        <v>7.4999999999999997E-2</v>
      </c>
      <c r="N16">
        <v>0.68</v>
      </c>
      <c r="O16">
        <v>0</v>
      </c>
    </row>
    <row r="19" spans="11:27" x14ac:dyDescent="0.2">
      <c r="K19" s="8" t="s">
        <v>106</v>
      </c>
    </row>
    <row r="20" spans="11:27" x14ac:dyDescent="0.2">
      <c r="K20" t="s">
        <v>97</v>
      </c>
      <c r="L20" t="s">
        <v>75</v>
      </c>
      <c r="M20" t="s">
        <v>54</v>
      </c>
      <c r="N20" t="s">
        <v>87</v>
      </c>
      <c r="O20" t="s">
        <v>47</v>
      </c>
      <c r="R20" s="1" t="s">
        <v>98</v>
      </c>
    </row>
    <row r="21" spans="11:27" x14ac:dyDescent="0.2">
      <c r="K21" t="s">
        <v>75</v>
      </c>
      <c r="L21">
        <v>0</v>
      </c>
      <c r="M21" s="9">
        <v>0.155</v>
      </c>
      <c r="N21">
        <v>-8.6999999999999994E-2</v>
      </c>
      <c r="O21">
        <v>-0.129</v>
      </c>
      <c r="Q21" t="s">
        <v>103</v>
      </c>
      <c r="R21" t="s">
        <v>100</v>
      </c>
      <c r="S21" t="s">
        <v>99</v>
      </c>
      <c r="T21" t="s">
        <v>101</v>
      </c>
      <c r="U21" t="s">
        <v>102</v>
      </c>
      <c r="W21" t="s">
        <v>103</v>
      </c>
      <c r="X21" t="s">
        <v>100</v>
      </c>
      <c r="Y21" t="s">
        <v>99</v>
      </c>
      <c r="Z21" t="s">
        <v>101</v>
      </c>
      <c r="AA21" t="s">
        <v>102</v>
      </c>
    </row>
    <row r="22" spans="11:27" x14ac:dyDescent="0.2">
      <c r="K22" t="s">
        <v>54</v>
      </c>
      <c r="L22" s="9">
        <v>-0.155</v>
      </c>
      <c r="M22">
        <v>0</v>
      </c>
      <c r="N22" s="9">
        <v>-0.16700000000000001</v>
      </c>
      <c r="O22" s="9">
        <v>-0.54200000000000004</v>
      </c>
      <c r="Q22" t="s">
        <v>104</v>
      </c>
      <c r="R22">
        <v>1</v>
      </c>
      <c r="S22">
        <v>0.79925000000000002</v>
      </c>
      <c r="T22">
        <v>0.91725000000000001</v>
      </c>
      <c r="U22">
        <v>1.3445</v>
      </c>
      <c r="W22" t="s">
        <v>104</v>
      </c>
      <c r="X22">
        <f>R22-1</f>
        <v>0</v>
      </c>
      <c r="Y22">
        <f t="shared" ref="Y22:Y23" si="2">S22-1</f>
        <v>-0.20074999999999998</v>
      </c>
      <c r="Z22">
        <f t="shared" ref="Z22:Z23" si="3">T22-1</f>
        <v>-8.274999999999999E-2</v>
      </c>
      <c r="AA22">
        <f t="shared" ref="AA22:AA23" si="4">U22-1</f>
        <v>0.34450000000000003</v>
      </c>
    </row>
    <row r="23" spans="11:27" x14ac:dyDescent="0.2">
      <c r="K23" t="s">
        <v>87</v>
      </c>
      <c r="L23" s="10">
        <v>8.6999999999999994E-2</v>
      </c>
      <c r="M23" s="9">
        <v>0.16700000000000001</v>
      </c>
      <c r="N23">
        <v>0</v>
      </c>
      <c r="O23">
        <v>-0.64600000000000002</v>
      </c>
      <c r="Q23" t="s">
        <v>105</v>
      </c>
      <c r="R23">
        <v>1</v>
      </c>
      <c r="S23">
        <v>0.72475000000000001</v>
      </c>
      <c r="T23">
        <v>0.66025</v>
      </c>
      <c r="U23">
        <v>1.2230000000000001</v>
      </c>
      <c r="W23" t="s">
        <v>105</v>
      </c>
      <c r="X23">
        <f>R23-1</f>
        <v>0</v>
      </c>
      <c r="Y23">
        <f t="shared" si="2"/>
        <v>-0.27524999999999999</v>
      </c>
      <c r="Z23">
        <f t="shared" si="3"/>
        <v>-0.33975</v>
      </c>
      <c r="AA23">
        <f t="shared" si="4"/>
        <v>0.22300000000000009</v>
      </c>
    </row>
    <row r="24" spans="11:27" x14ac:dyDescent="0.2">
      <c r="K24" t="s">
        <v>47</v>
      </c>
      <c r="L24" s="9">
        <v>0.129</v>
      </c>
      <c r="M24" s="9">
        <v>0.54200000000000004</v>
      </c>
      <c r="N24" s="9">
        <v>0.64600000000000002</v>
      </c>
      <c r="O24">
        <v>0</v>
      </c>
    </row>
    <row r="26" spans="11:27" x14ac:dyDescent="0.2">
      <c r="K26" t="s">
        <v>105</v>
      </c>
      <c r="L26" t="s">
        <v>75</v>
      </c>
      <c r="M26" t="s">
        <v>54</v>
      </c>
      <c r="N26" t="s">
        <v>87</v>
      </c>
      <c r="O26" t="s">
        <v>47</v>
      </c>
    </row>
    <row r="27" spans="11:27" x14ac:dyDescent="0.2">
      <c r="K27" t="s">
        <v>75</v>
      </c>
      <c r="L27">
        <v>0</v>
      </c>
      <c r="M27" s="9">
        <v>0.106</v>
      </c>
      <c r="N27" s="10">
        <v>0.36099999999999999</v>
      </c>
      <c r="O27">
        <v>-7.4999999999999997E-2</v>
      </c>
    </row>
    <row r="28" spans="11:27" x14ac:dyDescent="0.2">
      <c r="K28" t="s">
        <v>54</v>
      </c>
      <c r="L28" s="9">
        <v>-0.106</v>
      </c>
      <c r="M28">
        <v>0</v>
      </c>
      <c r="N28" s="9">
        <v>-7.3999999999999996E-2</v>
      </c>
      <c r="O28" s="9">
        <v>-0.52900000000000003</v>
      </c>
    </row>
    <row r="29" spans="11:27" x14ac:dyDescent="0.2">
      <c r="K29" t="s">
        <v>87</v>
      </c>
      <c r="L29" s="10">
        <v>-0.36099999999999999</v>
      </c>
      <c r="M29" s="9">
        <v>7.3999999999999996E-2</v>
      </c>
      <c r="N29">
        <v>0</v>
      </c>
      <c r="O29">
        <v>-0.68</v>
      </c>
    </row>
    <row r="30" spans="11:27" x14ac:dyDescent="0.2">
      <c r="K30" t="s">
        <v>47</v>
      </c>
      <c r="L30" s="9">
        <v>7.4999999999999997E-2</v>
      </c>
      <c r="M30" s="9">
        <v>0.52900000000000003</v>
      </c>
      <c r="N30" s="9">
        <v>0.68</v>
      </c>
      <c r="O30">
        <v>0</v>
      </c>
    </row>
  </sheetData>
  <mergeCells count="4">
    <mergeCell ref="I1:J1"/>
    <mergeCell ref="K1:L1"/>
    <mergeCell ref="A1:D1"/>
    <mergeCell ref="E1:H1"/>
  </mergeCells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82CFD-A3AA-E845-BB8C-1AE57C391C16}">
  <dimension ref="B1:J7"/>
  <sheetViews>
    <sheetView workbookViewId="0">
      <selection activeCell="C1" sqref="C1:D6"/>
    </sheetView>
  </sheetViews>
  <sheetFormatPr baseColWidth="10" defaultRowHeight="16" x14ac:dyDescent="0.2"/>
  <sheetData>
    <row r="1" spans="2:10" x14ac:dyDescent="0.2">
      <c r="B1" s="9">
        <v>-0.155</v>
      </c>
      <c r="C1" t="s">
        <v>43</v>
      </c>
      <c r="D1" s="9">
        <v>-0.106</v>
      </c>
      <c r="G1" t="s">
        <v>99</v>
      </c>
      <c r="H1" t="s">
        <v>100</v>
      </c>
      <c r="I1" t="s">
        <v>113</v>
      </c>
      <c r="J1" t="s">
        <v>114</v>
      </c>
    </row>
    <row r="2" spans="2:10" x14ac:dyDescent="0.2">
      <c r="B2" s="9">
        <v>-0.16700000000000001</v>
      </c>
      <c r="C2" t="s">
        <v>45</v>
      </c>
      <c r="D2" s="9">
        <v>-7.3999999999999996E-2</v>
      </c>
      <c r="F2" t="s">
        <v>99</v>
      </c>
      <c r="G2" s="11" t="s">
        <v>107</v>
      </c>
      <c r="H2" t="s">
        <v>43</v>
      </c>
      <c r="I2" t="s">
        <v>45</v>
      </c>
      <c r="J2" t="s">
        <v>41</v>
      </c>
    </row>
    <row r="3" spans="2:10" x14ac:dyDescent="0.2">
      <c r="B3" s="9">
        <v>-0.54200000000000004</v>
      </c>
      <c r="C3" t="s">
        <v>41</v>
      </c>
      <c r="D3" s="9">
        <v>-0.52900000000000003</v>
      </c>
      <c r="F3" t="s">
        <v>100</v>
      </c>
      <c r="G3" t="s">
        <v>111</v>
      </c>
      <c r="H3" s="11" t="s">
        <v>108</v>
      </c>
      <c r="I3" t="s">
        <v>112</v>
      </c>
      <c r="J3" t="s">
        <v>118</v>
      </c>
    </row>
    <row r="4" spans="2:10" x14ac:dyDescent="0.2">
      <c r="B4" s="10">
        <v>8.6999999999999994E-2</v>
      </c>
      <c r="C4" s="3" t="s">
        <v>44</v>
      </c>
      <c r="D4" s="10">
        <v>-0.36099999999999999</v>
      </c>
      <c r="F4" t="s">
        <v>101</v>
      </c>
      <c r="G4" t="s">
        <v>115</v>
      </c>
      <c r="H4" t="s">
        <v>44</v>
      </c>
      <c r="I4" s="11" t="s">
        <v>109</v>
      </c>
      <c r="J4" t="s">
        <v>116</v>
      </c>
    </row>
    <row r="5" spans="2:10" x14ac:dyDescent="0.2">
      <c r="B5" s="9">
        <v>0.129</v>
      </c>
      <c r="C5" t="s">
        <v>39</v>
      </c>
      <c r="D5" s="9">
        <v>7.4999999999999997E-2</v>
      </c>
      <c r="F5" t="s">
        <v>102</v>
      </c>
      <c r="G5" t="s">
        <v>117</v>
      </c>
      <c r="H5" t="s">
        <v>39</v>
      </c>
      <c r="I5" t="s">
        <v>42</v>
      </c>
      <c r="J5" s="11" t="s">
        <v>110</v>
      </c>
    </row>
    <row r="6" spans="2:10" x14ac:dyDescent="0.2">
      <c r="B6" s="9">
        <v>0.64600000000000002</v>
      </c>
      <c r="C6" t="s">
        <v>42</v>
      </c>
      <c r="D6" s="9">
        <v>0.68</v>
      </c>
    </row>
    <row r="7" spans="2:10" x14ac:dyDescent="0.2">
      <c r="J7" s="3"/>
    </row>
  </sheetData>
  <sortState xmlns:xlrd2="http://schemas.microsoft.com/office/spreadsheetml/2017/richdata2" ref="A1:D24">
    <sortCondition ref="A1:A24"/>
  </sortState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D015-A1C9-C04C-8C8D-65B9A6597E18}">
  <dimension ref="A1:H11"/>
  <sheetViews>
    <sheetView workbookViewId="0">
      <selection activeCell="I26" sqref="I26"/>
    </sheetView>
  </sheetViews>
  <sheetFormatPr baseColWidth="10" defaultRowHeight="16" x14ac:dyDescent="0.2"/>
  <sheetData>
    <row r="1" spans="1:8" x14ac:dyDescent="0.2">
      <c r="A1" s="12" t="s">
        <v>95</v>
      </c>
      <c r="B1" s="12"/>
      <c r="C1" s="12"/>
      <c r="D1" s="12"/>
      <c r="E1" s="12" t="s">
        <v>96</v>
      </c>
      <c r="F1" s="12"/>
      <c r="G1" s="12"/>
      <c r="H1" s="12"/>
    </row>
    <row r="2" spans="1:8" x14ac:dyDescent="0.2">
      <c r="A2" t="s">
        <v>0</v>
      </c>
      <c r="B2" t="s">
        <v>1</v>
      </c>
      <c r="C2" t="s">
        <v>6</v>
      </c>
      <c r="D2" t="s">
        <v>7</v>
      </c>
      <c r="E2" t="s">
        <v>0</v>
      </c>
      <c r="F2" t="s">
        <v>1</v>
      </c>
      <c r="G2" t="s">
        <v>6</v>
      </c>
      <c r="H2" t="s">
        <v>7</v>
      </c>
    </row>
    <row r="3" spans="1:8" x14ac:dyDescent="0.2">
      <c r="A3" s="3" t="s">
        <v>76</v>
      </c>
      <c r="B3" s="3" t="s">
        <v>77</v>
      </c>
      <c r="C3" s="3">
        <v>0.28799999999999998</v>
      </c>
      <c r="D3" s="3">
        <v>-0.218</v>
      </c>
      <c r="E3" s="3" t="s">
        <v>76</v>
      </c>
      <c r="F3" s="3" t="s">
        <v>77</v>
      </c>
      <c r="G3" s="3">
        <v>0.27300000000000002</v>
      </c>
      <c r="H3" s="3">
        <v>4.2999999999999997E-2</v>
      </c>
    </row>
    <row r="4" spans="1:8" x14ac:dyDescent="0.2">
      <c r="A4" t="s">
        <v>78</v>
      </c>
      <c r="B4" t="s">
        <v>77</v>
      </c>
      <c r="C4">
        <v>1.135</v>
      </c>
      <c r="D4">
        <v>-0.752</v>
      </c>
      <c r="E4" t="s">
        <v>78</v>
      </c>
      <c r="F4" t="s">
        <v>77</v>
      </c>
      <c r="G4">
        <v>0.93200000000000005</v>
      </c>
      <c r="H4">
        <v>-0.58099999999999996</v>
      </c>
    </row>
    <row r="5" spans="1:8" x14ac:dyDescent="0.2">
      <c r="A5" t="s">
        <v>79</v>
      </c>
      <c r="B5" t="s">
        <v>77</v>
      </c>
      <c r="C5">
        <v>0.25700000000000001</v>
      </c>
      <c r="D5">
        <v>-0.184</v>
      </c>
      <c r="E5" t="s">
        <v>79</v>
      </c>
      <c r="F5" t="s">
        <v>77</v>
      </c>
      <c r="G5">
        <v>0.23799999999999999</v>
      </c>
      <c r="H5">
        <v>-0.20699999999999999</v>
      </c>
    </row>
    <row r="6" spans="1:8" x14ac:dyDescent="0.2">
      <c r="A6" s="3" t="s">
        <v>80</v>
      </c>
      <c r="B6" s="3" t="s">
        <v>77</v>
      </c>
      <c r="C6" s="3">
        <v>0.159</v>
      </c>
      <c r="D6" s="3">
        <v>0.123</v>
      </c>
      <c r="E6" s="3" t="s">
        <v>80</v>
      </c>
      <c r="F6" s="3" t="s">
        <v>77</v>
      </c>
      <c r="G6" s="3">
        <v>0.188</v>
      </c>
      <c r="H6" s="3">
        <v>-2.1999999999999999E-2</v>
      </c>
    </row>
    <row r="7" spans="1:8" x14ac:dyDescent="0.2">
      <c r="A7" t="s">
        <v>81</v>
      </c>
      <c r="B7" t="s">
        <v>77</v>
      </c>
      <c r="C7">
        <v>0.64300000000000002</v>
      </c>
      <c r="D7">
        <v>0.156</v>
      </c>
      <c r="E7" t="s">
        <v>81</v>
      </c>
      <c r="F7" t="s">
        <v>77</v>
      </c>
      <c r="G7">
        <v>0.50600000000000001</v>
      </c>
      <c r="H7">
        <v>0.41699999999999998</v>
      </c>
    </row>
    <row r="8" spans="1:8" x14ac:dyDescent="0.2">
      <c r="A8" t="s">
        <v>82</v>
      </c>
      <c r="B8" t="s">
        <v>77</v>
      </c>
      <c r="C8">
        <v>0.28499999999999998</v>
      </c>
      <c r="D8">
        <v>-0.17199999999999999</v>
      </c>
      <c r="E8" t="s">
        <v>82</v>
      </c>
      <c r="F8" t="s">
        <v>77</v>
      </c>
      <c r="G8">
        <v>0.32700000000000001</v>
      </c>
      <c r="H8">
        <v>-0.45</v>
      </c>
    </row>
    <row r="9" spans="1:8" x14ac:dyDescent="0.2">
      <c r="A9" t="s">
        <v>83</v>
      </c>
      <c r="B9" t="s">
        <v>77</v>
      </c>
      <c r="C9">
        <v>0.25</v>
      </c>
      <c r="D9">
        <v>0.69699999999999995</v>
      </c>
      <c r="E9" t="s">
        <v>83</v>
      </c>
      <c r="F9" t="s">
        <v>77</v>
      </c>
      <c r="G9">
        <v>0.23300000000000001</v>
      </c>
      <c r="H9">
        <v>1.228</v>
      </c>
    </row>
    <row r="10" spans="1:8" x14ac:dyDescent="0.2">
      <c r="A10" t="s">
        <v>84</v>
      </c>
      <c r="B10" t="s">
        <v>77</v>
      </c>
      <c r="C10">
        <v>0.26200000000000001</v>
      </c>
      <c r="D10">
        <v>-0.25900000000000001</v>
      </c>
      <c r="E10" t="s">
        <v>84</v>
      </c>
      <c r="F10" t="s">
        <v>77</v>
      </c>
      <c r="G10">
        <v>0.24199999999999999</v>
      </c>
      <c r="H10">
        <v>-0.151</v>
      </c>
    </row>
    <row r="11" spans="1:8" x14ac:dyDescent="0.2">
      <c r="A11" t="s">
        <v>85</v>
      </c>
      <c r="B11" t="s">
        <v>77</v>
      </c>
      <c r="C11">
        <v>0.39100000000000001</v>
      </c>
      <c r="D11">
        <v>0.753</v>
      </c>
      <c r="E11" t="s">
        <v>85</v>
      </c>
      <c r="F11" t="s">
        <v>77</v>
      </c>
      <c r="G11">
        <v>0.36699999999999999</v>
      </c>
      <c r="H11">
        <v>0.84299999999999997</v>
      </c>
    </row>
  </sheetData>
  <mergeCells count="2">
    <mergeCell ref="A1:D1"/>
    <mergeCell ref="E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5732-2E45-E74F-A3E9-752D188CE0A7}">
  <dimension ref="A1:H9"/>
  <sheetViews>
    <sheetView workbookViewId="0">
      <selection sqref="A1:H2"/>
    </sheetView>
  </sheetViews>
  <sheetFormatPr baseColWidth="10" defaultRowHeight="16" x14ac:dyDescent="0.2"/>
  <sheetData>
    <row r="1" spans="1:8" x14ac:dyDescent="0.2">
      <c r="A1" s="12" t="s">
        <v>95</v>
      </c>
      <c r="B1" s="12"/>
      <c r="C1" s="12"/>
      <c r="D1" s="12"/>
      <c r="E1" s="12" t="s">
        <v>96</v>
      </c>
      <c r="F1" s="12"/>
      <c r="G1" s="12"/>
      <c r="H1" s="12"/>
    </row>
    <row r="2" spans="1:8" x14ac:dyDescent="0.2">
      <c r="A2" t="s">
        <v>0</v>
      </c>
      <c r="B2" t="s">
        <v>1</v>
      </c>
      <c r="C2" t="s">
        <v>6</v>
      </c>
      <c r="D2" t="s">
        <v>7</v>
      </c>
      <c r="E2" t="s">
        <v>0</v>
      </c>
      <c r="F2" t="s">
        <v>1</v>
      </c>
      <c r="G2" t="s">
        <v>6</v>
      </c>
      <c r="H2" t="s">
        <v>7</v>
      </c>
    </row>
    <row r="3" spans="1:8" x14ac:dyDescent="0.2">
      <c r="A3" t="s">
        <v>31</v>
      </c>
      <c r="B3" t="s">
        <v>32</v>
      </c>
      <c r="C3">
        <v>0.13300000000000001</v>
      </c>
      <c r="D3">
        <v>5.3999999999999999E-2</v>
      </c>
      <c r="E3" t="s">
        <v>31</v>
      </c>
      <c r="F3" t="s">
        <v>32</v>
      </c>
      <c r="G3">
        <v>0.13700000000000001</v>
      </c>
      <c r="H3">
        <v>5.5E-2</v>
      </c>
    </row>
    <row r="4" spans="1:8" x14ac:dyDescent="0.2">
      <c r="A4" s="2" t="s">
        <v>33</v>
      </c>
      <c r="B4" s="2" t="s">
        <v>32</v>
      </c>
      <c r="C4" s="2">
        <v>1.0860000000000001</v>
      </c>
      <c r="D4" s="2">
        <v>4.3999999999999997E-2</v>
      </c>
      <c r="E4" s="2" t="s">
        <v>94</v>
      </c>
      <c r="F4" s="2" t="s">
        <v>32</v>
      </c>
      <c r="G4" s="2">
        <v>0.999</v>
      </c>
      <c r="H4" s="2">
        <v>-0.41899999999999998</v>
      </c>
    </row>
    <row r="5" spans="1:8" x14ac:dyDescent="0.2">
      <c r="A5" t="s">
        <v>34</v>
      </c>
      <c r="B5" t="s">
        <v>32</v>
      </c>
      <c r="C5">
        <v>0.185</v>
      </c>
      <c r="D5">
        <v>0.45500000000000002</v>
      </c>
      <c r="E5" t="s">
        <v>34</v>
      </c>
      <c r="F5" t="s">
        <v>32</v>
      </c>
      <c r="G5">
        <v>0.17799999999999999</v>
      </c>
      <c r="H5">
        <v>0.61</v>
      </c>
    </row>
    <row r="6" spans="1:8" x14ac:dyDescent="0.2">
      <c r="A6" t="s">
        <v>35</v>
      </c>
      <c r="B6" t="s">
        <v>32</v>
      </c>
      <c r="C6">
        <v>0.17199999999999999</v>
      </c>
      <c r="D6">
        <v>2.4E-2</v>
      </c>
      <c r="E6" t="s">
        <v>35</v>
      </c>
      <c r="F6" t="s">
        <v>32</v>
      </c>
      <c r="G6">
        <v>0.159</v>
      </c>
      <c r="H6">
        <v>0.10100000000000001</v>
      </c>
    </row>
    <row r="7" spans="1:8" x14ac:dyDescent="0.2">
      <c r="A7" t="s">
        <v>36</v>
      </c>
      <c r="B7" t="s">
        <v>32</v>
      </c>
      <c r="C7">
        <v>0.83699999999999997</v>
      </c>
      <c r="D7">
        <v>-0.37</v>
      </c>
      <c r="E7" t="s">
        <v>36</v>
      </c>
      <c r="F7" t="s">
        <v>32</v>
      </c>
      <c r="G7">
        <v>0.89400000000000002</v>
      </c>
      <c r="H7">
        <v>-0.56200000000000006</v>
      </c>
    </row>
    <row r="8" spans="1:8" x14ac:dyDescent="0.2">
      <c r="A8" t="s">
        <v>37</v>
      </c>
      <c r="B8" t="s">
        <v>32</v>
      </c>
      <c r="C8">
        <v>0.20100000000000001</v>
      </c>
      <c r="D8">
        <v>0.10299999999999999</v>
      </c>
      <c r="E8" t="s">
        <v>37</v>
      </c>
      <c r="F8" t="s">
        <v>32</v>
      </c>
      <c r="G8">
        <v>0.17299999999999999</v>
      </c>
      <c r="H8">
        <v>0.42499999999999999</v>
      </c>
    </row>
    <row r="9" spans="1:8" x14ac:dyDescent="0.2">
      <c r="A9" s="3" t="s">
        <v>38</v>
      </c>
      <c r="B9" s="3" t="s">
        <v>32</v>
      </c>
      <c r="C9" s="3">
        <v>0.27600000000000002</v>
      </c>
      <c r="D9" s="3">
        <v>9.1999999999999998E-2</v>
      </c>
      <c r="E9" s="3" t="s">
        <v>38</v>
      </c>
      <c r="F9" s="3" t="s">
        <v>32</v>
      </c>
      <c r="G9" s="3">
        <v>0.30199999999999999</v>
      </c>
      <c r="H9" s="3">
        <v>-7.0000000000000007E-2</v>
      </c>
    </row>
  </sheetData>
  <mergeCells count="2">
    <mergeCell ref="A1:D1"/>
    <mergeCell ref="E1:H1"/>
  </mergeCells>
  <pageMargins left="0.7" right="0.7" top="0.75" bottom="0.75" header="0.3" footer="0.3"/>
  <pageSetup orientation="portrait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0411-529B-C34A-A3A6-8EBB96EBB9C6}">
  <dimension ref="A1:Q8"/>
  <sheetViews>
    <sheetView workbookViewId="0">
      <selection activeCell="O32" sqref="O32"/>
    </sheetView>
  </sheetViews>
  <sheetFormatPr baseColWidth="10" defaultRowHeight="16" x14ac:dyDescent="0.2"/>
  <sheetData>
    <row r="1" spans="1:17" x14ac:dyDescent="0.2">
      <c r="A1" s="12" t="s">
        <v>95</v>
      </c>
      <c r="B1" s="12"/>
      <c r="C1" s="12"/>
      <c r="D1" s="12"/>
      <c r="E1" s="12" t="s">
        <v>96</v>
      </c>
      <c r="F1" s="12"/>
      <c r="G1" s="12"/>
      <c r="H1" s="12"/>
      <c r="J1" s="12" t="s">
        <v>95</v>
      </c>
      <c r="K1" s="12"/>
      <c r="L1" s="12"/>
      <c r="M1" s="12"/>
      <c r="N1" s="12" t="s">
        <v>96</v>
      </c>
      <c r="O1" s="12"/>
      <c r="P1" s="12"/>
      <c r="Q1" s="12"/>
    </row>
    <row r="2" spans="1:17" x14ac:dyDescent="0.2">
      <c r="A2" t="s">
        <v>0</v>
      </c>
      <c r="B2" t="s">
        <v>1</v>
      </c>
      <c r="C2" t="s">
        <v>6</v>
      </c>
      <c r="D2" t="s">
        <v>7</v>
      </c>
      <c r="E2" t="s">
        <v>0</v>
      </c>
      <c r="F2" t="s">
        <v>1</v>
      </c>
      <c r="G2" t="s">
        <v>6</v>
      </c>
      <c r="H2" t="s">
        <v>7</v>
      </c>
      <c r="J2" t="s">
        <v>0</v>
      </c>
      <c r="K2" t="s">
        <v>1</v>
      </c>
      <c r="L2" t="s">
        <v>6</v>
      </c>
      <c r="M2" t="s">
        <v>7</v>
      </c>
      <c r="N2" t="s">
        <v>0</v>
      </c>
      <c r="O2" t="s">
        <v>1</v>
      </c>
      <c r="P2" t="s">
        <v>6</v>
      </c>
      <c r="Q2" t="s">
        <v>7</v>
      </c>
    </row>
    <row r="3" spans="1:17" x14ac:dyDescent="0.2">
      <c r="A3" s="3" t="s">
        <v>24</v>
      </c>
      <c r="B3" s="3" t="s">
        <v>25</v>
      </c>
      <c r="C3" s="3">
        <v>0.19700000000000001</v>
      </c>
      <c r="D3" s="3">
        <v>5.0999999999999997E-2</v>
      </c>
      <c r="E3" s="3" t="s">
        <v>24</v>
      </c>
      <c r="F3" s="3" t="s">
        <v>25</v>
      </c>
      <c r="G3" s="3">
        <v>0.217</v>
      </c>
      <c r="H3" s="3">
        <v>-6.4000000000000001E-2</v>
      </c>
      <c r="J3" s="3" t="s">
        <v>24</v>
      </c>
      <c r="K3" s="3" t="s">
        <v>25</v>
      </c>
      <c r="L3" s="3">
        <v>0.19700000000000001</v>
      </c>
      <c r="M3" s="3">
        <v>5.0999999999999997E-2</v>
      </c>
      <c r="N3" s="3" t="s">
        <v>24</v>
      </c>
      <c r="O3" s="3" t="s">
        <v>25</v>
      </c>
      <c r="P3" s="3">
        <v>0.217</v>
      </c>
      <c r="Q3" s="3">
        <v>-6.4000000000000001E-2</v>
      </c>
    </row>
    <row r="4" spans="1:17" x14ac:dyDescent="0.2">
      <c r="A4" s="2" t="s">
        <v>26</v>
      </c>
      <c r="B4" s="2" t="s">
        <v>25</v>
      </c>
      <c r="C4" s="2">
        <v>0.83099999999999996</v>
      </c>
      <c r="D4" s="2">
        <v>0.502</v>
      </c>
      <c r="E4" s="2" t="s">
        <v>93</v>
      </c>
      <c r="F4" s="2" t="s">
        <v>25</v>
      </c>
      <c r="G4" s="2">
        <v>1.046</v>
      </c>
      <c r="H4" s="2">
        <v>-0.13800000000000001</v>
      </c>
      <c r="J4" s="6" t="s">
        <v>26</v>
      </c>
      <c r="K4" s="5" t="s">
        <v>25</v>
      </c>
      <c r="L4" s="6">
        <v>0.83099999999999996</v>
      </c>
      <c r="M4" s="5">
        <v>0.502</v>
      </c>
      <c r="N4" s="6" t="s">
        <v>26</v>
      </c>
      <c r="O4" s="5" t="s">
        <v>25</v>
      </c>
      <c r="P4" s="5">
        <v>1.046</v>
      </c>
      <c r="Q4" s="6">
        <v>0.13800000000000001</v>
      </c>
    </row>
    <row r="5" spans="1:17" x14ac:dyDescent="0.2">
      <c r="A5" s="3" t="s">
        <v>27</v>
      </c>
      <c r="B5" s="3" t="s">
        <v>25</v>
      </c>
      <c r="C5" s="3">
        <v>0.112</v>
      </c>
      <c r="D5" s="3">
        <v>3.5999999999999997E-2</v>
      </c>
      <c r="E5" s="3" t="s">
        <v>27</v>
      </c>
      <c r="F5" s="3" t="s">
        <v>25</v>
      </c>
      <c r="G5" s="3">
        <v>0.121</v>
      </c>
      <c r="H5" s="3">
        <v>-0.104</v>
      </c>
      <c r="J5" s="3" t="s">
        <v>27</v>
      </c>
      <c r="K5" s="3" t="s">
        <v>25</v>
      </c>
      <c r="L5" s="3">
        <v>0.112</v>
      </c>
      <c r="M5" s="3">
        <v>3.5999999999999997E-2</v>
      </c>
      <c r="N5" s="3" t="s">
        <v>27</v>
      </c>
      <c r="O5" s="3" t="s">
        <v>25</v>
      </c>
      <c r="P5" s="3">
        <v>0.121</v>
      </c>
      <c r="Q5" s="3">
        <v>-0.104</v>
      </c>
    </row>
    <row r="6" spans="1:17" x14ac:dyDescent="0.2">
      <c r="A6" t="s">
        <v>28</v>
      </c>
      <c r="B6" t="s">
        <v>25</v>
      </c>
      <c r="C6">
        <v>0.11600000000000001</v>
      </c>
      <c r="D6">
        <v>0.495</v>
      </c>
      <c r="E6" t="s">
        <v>28</v>
      </c>
      <c r="F6" t="s">
        <v>25</v>
      </c>
      <c r="G6">
        <v>0.114</v>
      </c>
      <c r="H6">
        <v>0.78700000000000003</v>
      </c>
      <c r="J6" t="s">
        <v>28</v>
      </c>
      <c r="K6" t="s">
        <v>25</v>
      </c>
      <c r="L6">
        <v>0.11600000000000001</v>
      </c>
      <c r="M6">
        <v>0.495</v>
      </c>
      <c r="N6" t="s">
        <v>28</v>
      </c>
      <c r="O6" t="s">
        <v>25</v>
      </c>
      <c r="P6">
        <v>0.114</v>
      </c>
      <c r="Q6">
        <v>0.78700000000000003</v>
      </c>
    </row>
    <row r="7" spans="1:17" x14ac:dyDescent="0.2">
      <c r="A7" s="3" t="s">
        <v>29</v>
      </c>
      <c r="B7" s="3" t="s">
        <v>25</v>
      </c>
      <c r="C7" s="3">
        <v>0.64500000000000002</v>
      </c>
      <c r="D7" s="3">
        <v>-0.42599999999999999</v>
      </c>
      <c r="E7" s="3" t="s">
        <v>29</v>
      </c>
      <c r="F7" s="3" t="s">
        <v>25</v>
      </c>
      <c r="G7" s="3">
        <v>0.51700000000000002</v>
      </c>
      <c r="H7" s="3">
        <v>-7.2999999999999995E-2</v>
      </c>
      <c r="J7" s="3" t="s">
        <v>29</v>
      </c>
      <c r="K7" s="3" t="s">
        <v>25</v>
      </c>
      <c r="L7" s="3">
        <v>0.64500000000000002</v>
      </c>
      <c r="M7" s="3">
        <v>-0.42599999999999999</v>
      </c>
      <c r="N7" s="3" t="s">
        <v>29</v>
      </c>
      <c r="O7" s="3" t="s">
        <v>25</v>
      </c>
      <c r="P7" s="3">
        <v>0.51700000000000002</v>
      </c>
      <c r="Q7" s="3">
        <v>-7.2999999999999995E-2</v>
      </c>
    </row>
    <row r="8" spans="1:17" x14ac:dyDescent="0.2">
      <c r="A8" t="s">
        <v>30</v>
      </c>
      <c r="B8" t="s">
        <v>25</v>
      </c>
      <c r="C8">
        <v>9.4E-2</v>
      </c>
      <c r="D8">
        <v>0.371</v>
      </c>
      <c r="E8" t="s">
        <v>30</v>
      </c>
      <c r="F8" t="s">
        <v>25</v>
      </c>
      <c r="G8">
        <v>8.7999999999999995E-2</v>
      </c>
      <c r="H8">
        <v>0.42499999999999999</v>
      </c>
      <c r="J8" t="s">
        <v>30</v>
      </c>
      <c r="K8" t="s">
        <v>25</v>
      </c>
      <c r="L8">
        <v>9.4E-2</v>
      </c>
      <c r="M8">
        <v>0.371</v>
      </c>
      <c r="N8" t="s">
        <v>30</v>
      </c>
      <c r="O8" t="s">
        <v>25</v>
      </c>
      <c r="P8">
        <v>8.7999999999999995E-2</v>
      </c>
      <c r="Q8">
        <v>0.42499999999999999</v>
      </c>
    </row>
  </sheetData>
  <mergeCells count="4">
    <mergeCell ref="J1:M1"/>
    <mergeCell ref="N1:Q1"/>
    <mergeCell ref="A1:D1"/>
    <mergeCell ref="E1:H1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dgrp2</vt:lpstr>
      <vt:lpstr>Zambia</vt:lpstr>
      <vt:lpstr>side-by-side</vt:lpstr>
      <vt:lpstr>Proline</vt:lpstr>
      <vt:lpstr>Sheet1</vt:lpstr>
      <vt:lpstr>Arginine</vt:lpstr>
      <vt:lpstr>Serine</vt:lpstr>
      <vt:lpstr>Valine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Pavinato</dc:creator>
  <cp:lastModifiedBy>Vitor Pavinato</cp:lastModifiedBy>
  <dcterms:created xsi:type="dcterms:W3CDTF">2024-08-22T11:57:38Z</dcterms:created>
  <dcterms:modified xsi:type="dcterms:W3CDTF">2024-09-02T01:00:13Z</dcterms:modified>
</cp:coreProperties>
</file>